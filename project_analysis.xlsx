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EL\Projetos\LLM\experiment\pre-analise\"/>
    </mc:Choice>
  </mc:AlternateContent>
  <xr:revisionPtr revIDLastSave="0" documentId="13_ncr:1_{5316A774-4951-441D-9AB7-3604E119F9D9}" xr6:coauthVersionLast="47" xr6:coauthVersionMax="47" xr10:uidLastSave="{00000000-0000-0000-0000-000000000000}"/>
  <bookViews>
    <workbookView xWindow="-108" yWindow="-108" windowWidth="23256" windowHeight="12456" activeTab="2" xr2:uid="{232AA0B0-3A4B-418A-847F-49E5C33DD8CB}"/>
  </bookViews>
  <sheets>
    <sheet name="metrics_used" sheetId="7" r:id="rId1"/>
    <sheet name="projects" sheetId="8" r:id="rId2"/>
    <sheet name="qualitative_analisys" sheetId="15" r:id="rId3"/>
    <sheet name="order_good" sheetId="4" r:id="rId4"/>
    <sheet name="order_bad" sheetId="5" r:id="rId5"/>
    <sheet name="order_all" sheetId="6" r:id="rId6"/>
    <sheet name="notification_good" sheetId="1" r:id="rId7"/>
    <sheet name="notification_bad" sheetId="2" r:id="rId8"/>
    <sheet name="notification_all" sheetId="3" r:id="rId9"/>
    <sheet name="shipping_bad" sheetId="10" r:id="rId10"/>
    <sheet name="shipping_good" sheetId="9" r:id="rId11"/>
    <sheet name="shipping_all" sheetId="11" r:id="rId12"/>
    <sheet name="report_good" sheetId="12" r:id="rId13"/>
    <sheet name="report_bad" sheetId="13" r:id="rId14"/>
    <sheet name="report_all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13" l="1"/>
  <c r="K22" i="13"/>
  <c r="J22" i="13"/>
  <c r="J21" i="13"/>
  <c r="F21" i="13"/>
  <c r="C21" i="13"/>
  <c r="D21" i="13"/>
  <c r="E21" i="13"/>
  <c r="G21" i="13"/>
  <c r="H21" i="13"/>
  <c r="I21" i="13"/>
  <c r="D22" i="13"/>
  <c r="E22" i="13"/>
  <c r="F22" i="13"/>
  <c r="G22" i="13"/>
  <c r="H22" i="13"/>
  <c r="I22" i="13"/>
  <c r="C22" i="13"/>
  <c r="K24" i="12"/>
  <c r="K25" i="12"/>
  <c r="J25" i="12"/>
  <c r="J24" i="12"/>
  <c r="I24" i="12"/>
  <c r="H24" i="12"/>
  <c r="F24" i="12"/>
  <c r="E24" i="12"/>
  <c r="G24" i="12"/>
  <c r="E25" i="12"/>
  <c r="F25" i="12"/>
  <c r="G25" i="12"/>
  <c r="H25" i="12"/>
  <c r="I25" i="12"/>
  <c r="D25" i="12"/>
  <c r="D24" i="12"/>
  <c r="K22" i="10"/>
  <c r="K23" i="10"/>
  <c r="J23" i="10"/>
  <c r="J22" i="10"/>
  <c r="D22" i="10"/>
  <c r="E22" i="10"/>
  <c r="F22" i="10"/>
  <c r="G22" i="10"/>
  <c r="H22" i="10"/>
  <c r="I22" i="10"/>
  <c r="D23" i="10"/>
  <c r="E23" i="10"/>
  <c r="F23" i="10"/>
  <c r="G23" i="10"/>
  <c r="H23" i="10"/>
  <c r="I23" i="10"/>
  <c r="C23" i="10"/>
  <c r="C22" i="10"/>
  <c r="K25" i="9"/>
  <c r="K26" i="9"/>
  <c r="J26" i="9"/>
  <c r="J25" i="9"/>
  <c r="D25" i="9"/>
  <c r="E25" i="9"/>
  <c r="F25" i="9"/>
  <c r="G25" i="9"/>
  <c r="H25" i="9"/>
  <c r="I25" i="9"/>
  <c r="D26" i="9"/>
  <c r="E26" i="9"/>
  <c r="F26" i="9"/>
  <c r="G26" i="9"/>
  <c r="H26" i="9"/>
  <c r="I26" i="9"/>
  <c r="C26" i="9"/>
  <c r="C25" i="9"/>
  <c r="K9" i="5"/>
  <c r="K10" i="5"/>
  <c r="J10" i="5"/>
  <c r="J9" i="5"/>
  <c r="I10" i="5"/>
  <c r="D9" i="5"/>
  <c r="E9" i="5"/>
  <c r="F9" i="5"/>
  <c r="G9" i="5"/>
  <c r="H9" i="5"/>
  <c r="I9" i="5"/>
  <c r="D10" i="5"/>
  <c r="E10" i="5"/>
  <c r="F10" i="5"/>
  <c r="G10" i="5"/>
  <c r="H10" i="5"/>
  <c r="C10" i="5"/>
  <c r="C9" i="5"/>
  <c r="K25" i="4"/>
  <c r="K26" i="4"/>
  <c r="J26" i="4"/>
  <c r="J25" i="4"/>
  <c r="D25" i="4"/>
  <c r="E25" i="4"/>
  <c r="F25" i="4"/>
  <c r="G25" i="4"/>
  <c r="H25" i="4"/>
  <c r="I25" i="4"/>
  <c r="D26" i="4"/>
  <c r="E26" i="4"/>
  <c r="F26" i="4"/>
  <c r="G26" i="4"/>
  <c r="H26" i="4"/>
  <c r="I26" i="4"/>
  <c r="C26" i="4"/>
  <c r="C25" i="4"/>
  <c r="C7" i="3"/>
  <c r="K21" i="2"/>
  <c r="K22" i="2"/>
  <c r="J22" i="2"/>
  <c r="J21" i="2"/>
  <c r="D21" i="2"/>
  <c r="E21" i="2"/>
  <c r="F21" i="2"/>
  <c r="G21" i="2"/>
  <c r="H21" i="2"/>
  <c r="I21" i="2"/>
  <c r="D22" i="2"/>
  <c r="E22" i="2"/>
  <c r="F22" i="2"/>
  <c r="G22" i="2"/>
  <c r="H22" i="2"/>
  <c r="I22" i="2"/>
  <c r="C22" i="2"/>
  <c r="C21" i="2"/>
  <c r="K24" i="1"/>
  <c r="K25" i="1"/>
  <c r="J25" i="1"/>
  <c r="J24" i="1"/>
  <c r="I24" i="1"/>
  <c r="I25" i="1"/>
  <c r="H24" i="1"/>
  <c r="H25" i="1"/>
  <c r="F24" i="1"/>
  <c r="G24" i="1"/>
  <c r="F25" i="1"/>
  <c r="G25" i="1"/>
  <c r="D24" i="1"/>
  <c r="E24" i="1"/>
  <c r="D25" i="1"/>
  <c r="E25" i="1"/>
  <c r="C25" i="1"/>
  <c r="C24" i="1"/>
</calcChain>
</file>

<file path=xl/sharedStrings.xml><?xml version="1.0" encoding="utf-8"?>
<sst xmlns="http://schemas.openxmlformats.org/spreadsheetml/2006/main" count="616" uniqueCount="172">
  <si>
    <t>Kind</t>
  </si>
  <si>
    <t>Name</t>
  </si>
  <si>
    <t>SumCyclomatic</t>
  </si>
  <si>
    <t>PercentLackOfCohesion</t>
  </si>
  <si>
    <t>MaxInheritanceTree</t>
  </si>
  <si>
    <t>CountInput</t>
  </si>
  <si>
    <t>CountOutput</t>
  </si>
  <si>
    <t>CountDeclMethodAll</t>
  </si>
  <si>
    <t>CountClassCoupled</t>
  </si>
  <si>
    <t>CountClassDerived</t>
  </si>
  <si>
    <t>CountLineCode</t>
  </si>
  <si>
    <t>Package</t>
  </si>
  <si>
    <t>(Unnamed_Package)</t>
  </si>
  <si>
    <t>Public Class</t>
  </si>
  <si>
    <t>EmailChannel</t>
  </si>
  <si>
    <t>File</t>
  </si>
  <si>
    <t>EmailChannel.java</t>
  </si>
  <si>
    <t>Public Method</t>
  </si>
  <si>
    <t>EmailChannel.send</t>
  </si>
  <si>
    <t>Main</t>
  </si>
  <si>
    <t>Main.java</t>
  </si>
  <si>
    <t>Public Static Method</t>
  </si>
  <si>
    <t>Main.main</t>
  </si>
  <si>
    <t>Notification</t>
  </si>
  <si>
    <t>Public Constructor</t>
  </si>
  <si>
    <t>Notification.Notification</t>
  </si>
  <si>
    <t>Notification.getMessage</t>
  </si>
  <si>
    <t>Notification.getRecipient</t>
  </si>
  <si>
    <t>Notification.java</t>
  </si>
  <si>
    <t>Public Interface</t>
  </si>
  <si>
    <t>NotificationChannel</t>
  </si>
  <si>
    <t>NotificationChannel.java</t>
  </si>
  <si>
    <t>Abstract Method</t>
  </si>
  <si>
    <t>NotificationChannel.send</t>
  </si>
  <si>
    <t>NotificationService</t>
  </si>
  <si>
    <t>NotificationService.NotificationService</t>
  </si>
  <si>
    <t>NotificationService.java</t>
  </si>
  <si>
    <t>NotificationService.notify</t>
  </si>
  <si>
    <t>SmsChannel</t>
  </si>
  <si>
    <t>SmsChannel.java</t>
  </si>
  <si>
    <t>SmsChannel.send</t>
  </si>
  <si>
    <t>AVG</t>
  </si>
  <si>
    <t>Median</t>
  </si>
  <si>
    <t>Max</t>
  </si>
  <si>
    <t>EmailService</t>
  </si>
  <si>
    <t>EmailService.java</t>
  </si>
  <si>
    <t>EmailService.send</t>
  </si>
  <si>
    <t>SmsService</t>
  </si>
  <si>
    <t>SmsService.java</t>
  </si>
  <si>
    <t>SmsService.send</t>
  </si>
  <si>
    <t>Métrica (Literature)</t>
  </si>
  <si>
    <t>Métrica (Understand)</t>
  </si>
  <si>
    <t>LCOM</t>
  </si>
  <si>
    <t>CBO</t>
  </si>
  <si>
    <t>RFC</t>
  </si>
  <si>
    <t>Fan-in</t>
  </si>
  <si>
    <t>Fan-out</t>
  </si>
  <si>
    <t>WMC</t>
  </si>
  <si>
    <t>DIT</t>
  </si>
  <si>
    <t>NOC</t>
  </si>
  <si>
    <t>LOC</t>
  </si>
  <si>
    <t>GOOD (Avg)</t>
  </si>
  <si>
    <t>GOOD (Median)</t>
  </si>
  <si>
    <t>GOOD (Max)</t>
  </si>
  <si>
    <t>Bad (AVG)</t>
  </si>
  <si>
    <t>BAD (Median)</t>
  </si>
  <si>
    <t>BAD (Max)</t>
  </si>
  <si>
    <t>CreditCardPayment</t>
  </si>
  <si>
    <t>CreditCardPayment.java</t>
  </si>
  <si>
    <t>CreditCardPayment.pay</t>
  </si>
  <si>
    <t>MainGood</t>
  </si>
  <si>
    <t>MainGood.java</t>
  </si>
  <si>
    <t>MainGood.main</t>
  </si>
  <si>
    <t>Order</t>
  </si>
  <si>
    <t>Order.Order</t>
  </si>
  <si>
    <t>Order.calculateTotal</t>
  </si>
  <si>
    <t>Lambda Method</t>
  </si>
  <si>
    <t>Order.calculateTotal.(lambda_expr_1)</t>
  </si>
  <si>
    <t>Order.java</t>
  </si>
  <si>
    <t>OrderItem</t>
  </si>
  <si>
    <t>OrderItem.OrderItem</t>
  </si>
  <si>
    <t>OrderItem.getTotal</t>
  </si>
  <si>
    <t>OrderItem.java</t>
  </si>
  <si>
    <t>OrderService</t>
  </si>
  <si>
    <t>OrderService.OrderService</t>
  </si>
  <si>
    <t>OrderService.java</t>
  </si>
  <si>
    <t>OrderService.processOrder</t>
  </si>
  <si>
    <t>PaymentMethod</t>
  </si>
  <si>
    <t>PaymentMethod.java</t>
  </si>
  <si>
    <t>PaymentMethod.pay</t>
  </si>
  <si>
    <t>MainBad</t>
  </si>
  <si>
    <t>MainBad.java</t>
  </si>
  <si>
    <t>MainBad.main</t>
  </si>
  <si>
    <t>OrderProcessor</t>
  </si>
  <si>
    <t>OrderProcessor.java</t>
  </si>
  <si>
    <t>OrderProcessor.processOrder</t>
  </si>
  <si>
    <t>Areas</t>
  </si>
  <si>
    <t>Literature</t>
  </si>
  <si>
    <t>Understand</t>
  </si>
  <si>
    <t>Cohesion</t>
  </si>
  <si>
    <t>Coupling</t>
  </si>
  <si>
    <t>Complexity</t>
  </si>
  <si>
    <t>Herança</t>
  </si>
  <si>
    <t>Size</t>
  </si>
  <si>
    <t>Projects</t>
  </si>
  <si>
    <t>Fuctions</t>
  </si>
  <si>
    <t xml:space="preserve"> Classes</t>
  </si>
  <si>
    <t>Lines</t>
  </si>
  <si>
    <t>Shipping_good</t>
  </si>
  <si>
    <t>Order_good</t>
  </si>
  <si>
    <t>Order_bad</t>
  </si>
  <si>
    <t>Notification_good</t>
  </si>
  <si>
    <t>Notification_bad</t>
  </si>
  <si>
    <t>Shipping_bad</t>
  </si>
  <si>
    <t>ExpressShippingCalculator</t>
  </si>
  <si>
    <t>ExpressShippingCalculator.calculate</t>
  </si>
  <si>
    <t>ExpressShippingCalculator.java</t>
  </si>
  <si>
    <t>Order.getDistanceKm</t>
  </si>
  <si>
    <t>Order.getWeightKg</t>
  </si>
  <si>
    <t>Order.isInternational</t>
  </si>
  <si>
    <t>ShippingCalculator</t>
  </si>
  <si>
    <t>ShippingCalculator.calculate</t>
  </si>
  <si>
    <t>ShippingCalculator.java</t>
  </si>
  <si>
    <t>ShippingService</t>
  </si>
  <si>
    <t>ShippingService.ShippingService</t>
  </si>
  <si>
    <t>ShippingService.calculate</t>
  </si>
  <si>
    <t>ShippingService.java</t>
  </si>
  <si>
    <t>StandardShippingCalculator</t>
  </si>
  <si>
    <t>StandardShippingCalculator.calculate</t>
  </si>
  <si>
    <t>StandardShippingCalculator.java</t>
  </si>
  <si>
    <t>Report_good</t>
  </si>
  <si>
    <t>Report_bad</t>
  </si>
  <si>
    <t>CsvReportFormatter</t>
  </si>
  <si>
    <t>CsvReportFormatter.java</t>
  </si>
  <si>
    <t>CsvReportFormatter.write</t>
  </si>
  <si>
    <t>PdfReportFormatter</t>
  </si>
  <si>
    <t>PdfReportFormatter.java</t>
  </si>
  <si>
    <t>PdfReportFormatter.write</t>
  </si>
  <si>
    <t>ReportData</t>
  </si>
  <si>
    <t>ReportData.ReportData</t>
  </si>
  <si>
    <t>ReportData.getTotal</t>
  </si>
  <si>
    <t>ReportData.getValues</t>
  </si>
  <si>
    <t>ReportData.java</t>
  </si>
  <si>
    <t>ReportFormatter</t>
  </si>
  <si>
    <t>ReportFormatter.java</t>
  </si>
  <si>
    <t>ReportFormatter.write</t>
  </si>
  <si>
    <t>ReportService</t>
  </si>
  <si>
    <t>ReportService.ReportService</t>
  </si>
  <si>
    <t>ReportService.generate</t>
  </si>
  <si>
    <t>ReportService.java</t>
  </si>
  <si>
    <t>]</t>
  </si>
  <si>
    <t>CsvReportWriter</t>
  </si>
  <si>
    <t>CsvReportWriter.java</t>
  </si>
  <si>
    <t>CsvReportWriter.write</t>
  </si>
  <si>
    <t>PdfReportWriter</t>
  </si>
  <si>
    <t>PdfReportWriter.java</t>
  </si>
  <si>
    <t>PdfReportWriter.write</t>
  </si>
  <si>
    <t>Project (Bad Version)</t>
  </si>
  <si>
    <t>OO Issues</t>
  </si>
  <si>
    <t>Report</t>
  </si>
  <si>
    <t>Shipping</t>
  </si>
  <si>
    <t>SRP</t>
  </si>
  <si>
    <t>x</t>
  </si>
  <si>
    <t>OCP</t>
  </si>
  <si>
    <t>DIP</t>
  </si>
  <si>
    <t>-</t>
  </si>
  <si>
    <t>Long Method</t>
  </si>
  <si>
    <t>Switch Statements</t>
  </si>
  <si>
    <t>Primitive Obsession</t>
  </si>
  <si>
    <t>Feature Envy</t>
  </si>
  <si>
    <t>Magic Nunber</t>
  </si>
  <si>
    <t>Large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</si>
</sst>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0" fillId="5" borderId="0" xfId="0" applyFill="1"/>
    <xf numFmtId="0" fontId="4" fillId="5" borderId="0" xfId="0" applyFont="1" applyFill="1"/>
    <xf numFmtId="0" fontId="0" fillId="5" borderId="2" xfId="0" applyFill="1" applyBorder="1"/>
    <xf numFmtId="0" fontId="0" fillId="5" borderId="3" xfId="0" applyFill="1" applyBorder="1"/>
    <xf numFmtId="0" fontId="4" fillId="5" borderId="2" xfId="0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5" borderId="4" xfId="0" applyFill="1" applyBorder="1"/>
    <xf numFmtId="0" fontId="3" fillId="0" borderId="0" xfId="0" applyFont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9CBD-D9AE-45C6-8832-0AD43E953ADF}">
  <dimension ref="A1:C12"/>
  <sheetViews>
    <sheetView workbookViewId="0">
      <selection activeCell="B15" sqref="B15"/>
    </sheetView>
  </sheetViews>
  <sheetFormatPr defaultRowHeight="14.4" x14ac:dyDescent="0.3"/>
  <cols>
    <col min="1" max="1" width="28.88671875" customWidth="1"/>
    <col min="2" max="2" width="12.44140625" customWidth="1"/>
    <col min="3" max="3" width="30.33203125" customWidth="1"/>
  </cols>
  <sheetData>
    <row r="1" spans="1:3" x14ac:dyDescent="0.3">
      <c r="A1" s="6" t="s">
        <v>96</v>
      </c>
      <c r="B1" s="6" t="s">
        <v>97</v>
      </c>
      <c r="C1" s="6" t="s">
        <v>98</v>
      </c>
    </row>
    <row r="2" spans="1:3" x14ac:dyDescent="0.3">
      <c r="A2" s="9" t="s">
        <v>99</v>
      </c>
      <c r="B2" s="9" t="s">
        <v>52</v>
      </c>
      <c r="C2" s="9" t="s">
        <v>3</v>
      </c>
    </row>
    <row r="3" spans="1:3" x14ac:dyDescent="0.3">
      <c r="A3" s="17" t="s">
        <v>100</v>
      </c>
      <c r="B3" s="7" t="s">
        <v>53</v>
      </c>
      <c r="C3" s="7" t="s">
        <v>8</v>
      </c>
    </row>
    <row r="4" spans="1:3" x14ac:dyDescent="0.3">
      <c r="A4" s="17"/>
      <c r="B4" s="7" t="s">
        <v>54</v>
      </c>
      <c r="C4" s="8" t="s">
        <v>7</v>
      </c>
    </row>
    <row r="5" spans="1:3" x14ac:dyDescent="0.3">
      <c r="A5" s="17"/>
      <c r="B5" s="7" t="s">
        <v>55</v>
      </c>
      <c r="C5" s="7" t="s">
        <v>5</v>
      </c>
    </row>
    <row r="6" spans="1:3" x14ac:dyDescent="0.3">
      <c r="A6" s="18"/>
      <c r="B6" s="9" t="s">
        <v>56</v>
      </c>
      <c r="C6" s="9" t="s">
        <v>6</v>
      </c>
    </row>
    <row r="7" spans="1:3" x14ac:dyDescent="0.3">
      <c r="A7" s="19" t="s">
        <v>101</v>
      </c>
      <c r="B7" s="10" t="s">
        <v>57</v>
      </c>
      <c r="C7" s="10" t="s">
        <v>2</v>
      </c>
    </row>
    <row r="8" spans="1:3" x14ac:dyDescent="0.3">
      <c r="A8" s="20"/>
      <c r="B8" s="7" t="s">
        <v>52</v>
      </c>
      <c r="C8" s="7" t="s">
        <v>3</v>
      </c>
    </row>
    <row r="9" spans="1:3" x14ac:dyDescent="0.3">
      <c r="A9" s="21"/>
      <c r="B9" s="9" t="s">
        <v>54</v>
      </c>
      <c r="C9" s="11" t="s">
        <v>7</v>
      </c>
    </row>
    <row r="10" spans="1:3" x14ac:dyDescent="0.3">
      <c r="A10" s="19" t="s">
        <v>102</v>
      </c>
      <c r="B10" s="10" t="s">
        <v>58</v>
      </c>
      <c r="C10" s="10" t="s">
        <v>4</v>
      </c>
    </row>
    <row r="11" spans="1:3" x14ac:dyDescent="0.3">
      <c r="A11" s="21"/>
      <c r="B11" s="9" t="s">
        <v>59</v>
      </c>
      <c r="C11" s="9" t="s">
        <v>9</v>
      </c>
    </row>
    <row r="12" spans="1:3" x14ac:dyDescent="0.3">
      <c r="A12" s="15" t="s">
        <v>103</v>
      </c>
      <c r="B12" s="15" t="s">
        <v>60</v>
      </c>
      <c r="C12" s="15" t="s">
        <v>10</v>
      </c>
    </row>
  </sheetData>
  <mergeCells count="3">
    <mergeCell ref="A3:A6"/>
    <mergeCell ref="A7:A9"/>
    <mergeCell ref="A10:A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AF40-9296-47F3-9D9C-3375F8D4DBA3}">
  <dimension ref="A1:D9"/>
  <sheetViews>
    <sheetView workbookViewId="0">
      <selection activeCell="D12" sqref="D12"/>
    </sheetView>
  </sheetViews>
  <sheetFormatPr defaultRowHeight="14.4" x14ac:dyDescent="0.3"/>
  <cols>
    <col min="1" max="1" width="18.44140625" customWidth="1"/>
    <col min="2" max="2" width="13.109375" customWidth="1"/>
  </cols>
  <sheetData>
    <row r="1" spans="1:4" x14ac:dyDescent="0.3">
      <c r="A1" s="6" t="s">
        <v>104</v>
      </c>
      <c r="B1" s="6" t="s">
        <v>106</v>
      </c>
      <c r="C1" s="6" t="s">
        <v>105</v>
      </c>
      <c r="D1" s="6" t="s">
        <v>107</v>
      </c>
    </row>
    <row r="2" spans="1:4" x14ac:dyDescent="0.3">
      <c r="A2" t="s">
        <v>109</v>
      </c>
      <c r="B2">
        <v>6</v>
      </c>
      <c r="C2">
        <v>10</v>
      </c>
      <c r="D2">
        <v>70</v>
      </c>
    </row>
    <row r="3" spans="1:4" x14ac:dyDescent="0.3">
      <c r="A3" t="s">
        <v>110</v>
      </c>
      <c r="B3">
        <v>2</v>
      </c>
      <c r="C3">
        <v>2</v>
      </c>
      <c r="D3">
        <v>56</v>
      </c>
    </row>
    <row r="4" spans="1:4" x14ac:dyDescent="0.3">
      <c r="A4" t="s">
        <v>111</v>
      </c>
      <c r="B4">
        <v>6</v>
      </c>
      <c r="C4">
        <v>9</v>
      </c>
      <c r="D4">
        <v>72</v>
      </c>
    </row>
    <row r="5" spans="1:4" x14ac:dyDescent="0.3">
      <c r="A5" t="s">
        <v>112</v>
      </c>
      <c r="B5">
        <v>5</v>
      </c>
      <c r="C5">
        <v>8</v>
      </c>
      <c r="D5">
        <v>72</v>
      </c>
    </row>
    <row r="6" spans="1:4" x14ac:dyDescent="0.3">
      <c r="A6" t="s">
        <v>108</v>
      </c>
      <c r="B6">
        <v>6</v>
      </c>
      <c r="C6">
        <v>6</v>
      </c>
      <c r="D6">
        <v>80</v>
      </c>
    </row>
    <row r="7" spans="1:4" x14ac:dyDescent="0.3">
      <c r="A7" t="s">
        <v>113</v>
      </c>
      <c r="B7">
        <v>5</v>
      </c>
      <c r="C7">
        <v>9</v>
      </c>
      <c r="D7">
        <v>85</v>
      </c>
    </row>
    <row r="8" spans="1:4" x14ac:dyDescent="0.3">
      <c r="A8" t="s">
        <v>130</v>
      </c>
      <c r="B8">
        <v>6</v>
      </c>
      <c r="C8">
        <v>9</v>
      </c>
      <c r="D8">
        <v>68</v>
      </c>
    </row>
    <row r="9" spans="1:4" x14ac:dyDescent="0.3">
      <c r="A9" t="s">
        <v>131</v>
      </c>
      <c r="B9">
        <v>5</v>
      </c>
      <c r="C9">
        <v>8</v>
      </c>
      <c r="D9">
        <v>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0342-56DD-4DD2-807F-A893C967AD21}">
  <dimension ref="A1:E11"/>
  <sheetViews>
    <sheetView tabSelected="1" workbookViewId="0">
      <selection activeCell="C8" sqref="C8"/>
    </sheetView>
  </sheetViews>
  <sheetFormatPr defaultRowHeight="14.4" x14ac:dyDescent="0.3"/>
  <cols>
    <col min="1" max="1" width="17.6640625" customWidth="1"/>
  </cols>
  <sheetData>
    <row r="1" spans="1:5" x14ac:dyDescent="0.3">
      <c r="B1" s="16" t="s">
        <v>157</v>
      </c>
      <c r="C1" s="16"/>
      <c r="D1" s="16"/>
      <c r="E1" s="16"/>
    </row>
    <row r="2" spans="1:5" x14ac:dyDescent="0.3">
      <c r="A2" s="6" t="s">
        <v>158</v>
      </c>
      <c r="B2" s="12" t="s">
        <v>73</v>
      </c>
      <c r="C2" s="13" t="s">
        <v>23</v>
      </c>
      <c r="D2" s="12" t="s">
        <v>159</v>
      </c>
      <c r="E2" s="12" t="s">
        <v>160</v>
      </c>
    </row>
    <row r="3" spans="1:5" x14ac:dyDescent="0.3">
      <c r="A3" t="s">
        <v>161</v>
      </c>
      <c r="B3" s="14" t="s">
        <v>162</v>
      </c>
      <c r="C3" s="14" t="s">
        <v>162</v>
      </c>
      <c r="D3" s="14" t="s">
        <v>162</v>
      </c>
      <c r="E3" s="14" t="s">
        <v>162</v>
      </c>
    </row>
    <row r="4" spans="1:5" x14ac:dyDescent="0.3">
      <c r="A4" t="s">
        <v>163</v>
      </c>
      <c r="B4" s="14" t="s">
        <v>162</v>
      </c>
      <c r="C4" s="14" t="s">
        <v>162</v>
      </c>
      <c r="D4" s="14" t="s">
        <v>162</v>
      </c>
      <c r="E4" s="14" t="s">
        <v>162</v>
      </c>
    </row>
    <row r="5" spans="1:5" x14ac:dyDescent="0.3">
      <c r="A5" t="s">
        <v>164</v>
      </c>
      <c r="B5" s="14" t="s">
        <v>162</v>
      </c>
      <c r="C5" s="14" t="s">
        <v>162</v>
      </c>
      <c r="D5" s="14" t="s">
        <v>162</v>
      </c>
      <c r="E5" s="14" t="s">
        <v>162</v>
      </c>
    </row>
    <row r="6" spans="1:5" x14ac:dyDescent="0.3">
      <c r="A6" t="s">
        <v>171</v>
      </c>
      <c r="B6" s="14" t="s">
        <v>162</v>
      </c>
      <c r="C6" s="14" t="s">
        <v>162</v>
      </c>
      <c r="D6" s="14" t="s">
        <v>165</v>
      </c>
      <c r="E6" s="14" t="s">
        <v>165</v>
      </c>
    </row>
    <row r="7" spans="1:5" x14ac:dyDescent="0.3">
      <c r="A7" t="s">
        <v>166</v>
      </c>
      <c r="B7" s="14" t="s">
        <v>162</v>
      </c>
      <c r="C7" s="14" t="s">
        <v>165</v>
      </c>
      <c r="D7" s="14" t="s">
        <v>165</v>
      </c>
      <c r="E7" s="14" t="s">
        <v>165</v>
      </c>
    </row>
    <row r="8" spans="1:5" x14ac:dyDescent="0.3">
      <c r="A8" t="s">
        <v>167</v>
      </c>
      <c r="B8" s="14" t="s">
        <v>162</v>
      </c>
      <c r="C8" s="14" t="s">
        <v>165</v>
      </c>
      <c r="D8" s="14" t="s">
        <v>162</v>
      </c>
      <c r="E8" s="14" t="s">
        <v>162</v>
      </c>
    </row>
    <row r="9" spans="1:5" x14ac:dyDescent="0.3">
      <c r="A9" t="s">
        <v>168</v>
      </c>
      <c r="B9" s="14" t="s">
        <v>165</v>
      </c>
      <c r="C9" s="14" t="s">
        <v>165</v>
      </c>
      <c r="D9" s="14" t="s">
        <v>162</v>
      </c>
      <c r="E9" s="14" t="s">
        <v>165</v>
      </c>
    </row>
    <row r="10" spans="1:5" x14ac:dyDescent="0.3">
      <c r="A10" t="s">
        <v>169</v>
      </c>
      <c r="B10" s="14" t="s">
        <v>165</v>
      </c>
      <c r="C10" s="14" t="s">
        <v>165</v>
      </c>
      <c r="D10" s="14" t="s">
        <v>165</v>
      </c>
      <c r="E10" s="14" t="s">
        <v>162</v>
      </c>
    </row>
    <row r="11" spans="1:5" x14ac:dyDescent="0.3">
      <c r="A11" t="s">
        <v>170</v>
      </c>
      <c r="B11" s="14" t="s">
        <v>162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7547-B28B-4660-ADBE-6FBF3AE24F5B}">
  <dimension ref="A1:K27"/>
  <sheetViews>
    <sheetView topLeftCell="A8" workbookViewId="0">
      <selection activeCell="B25" sqref="B25:B27"/>
    </sheetView>
  </sheetViews>
  <sheetFormatPr defaultRowHeight="14.4" x14ac:dyDescent="0.3"/>
  <cols>
    <col min="1" max="1" width="18.5546875" customWidth="1"/>
    <col min="2" max="2" width="21.5546875" customWidth="1"/>
    <col min="5" max="5" width="18.77734375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8</v>
      </c>
      <c r="E1" t="s">
        <v>7</v>
      </c>
      <c r="F1" t="s">
        <v>10</v>
      </c>
      <c r="G1" t="s">
        <v>2</v>
      </c>
      <c r="H1" t="s">
        <v>4</v>
      </c>
      <c r="I1" t="s">
        <v>9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F2">
        <v>56</v>
      </c>
      <c r="G2">
        <v>9</v>
      </c>
    </row>
    <row r="3" spans="1:11" s="1" customFormat="1" x14ac:dyDescent="0.3">
      <c r="A3" s="1" t="s">
        <v>13</v>
      </c>
      <c r="B3" s="1" t="s">
        <v>67</v>
      </c>
      <c r="C3" s="1">
        <v>0</v>
      </c>
      <c r="D3" s="1">
        <v>1</v>
      </c>
      <c r="E3" s="1">
        <v>1</v>
      </c>
      <c r="F3" s="1">
        <v>6</v>
      </c>
      <c r="G3" s="1">
        <v>1</v>
      </c>
      <c r="H3" s="1">
        <v>1</v>
      </c>
      <c r="I3" s="1">
        <v>0</v>
      </c>
    </row>
    <row r="4" spans="1:11" x14ac:dyDescent="0.3">
      <c r="A4" t="s">
        <v>15</v>
      </c>
      <c r="B4" t="s">
        <v>68</v>
      </c>
      <c r="F4">
        <v>6</v>
      </c>
      <c r="G4">
        <v>1</v>
      </c>
    </row>
    <row r="5" spans="1:11" x14ac:dyDescent="0.3">
      <c r="A5" t="s">
        <v>17</v>
      </c>
      <c r="B5" t="s">
        <v>69</v>
      </c>
      <c r="F5">
        <v>4</v>
      </c>
      <c r="G5">
        <v>1</v>
      </c>
      <c r="J5">
        <v>3</v>
      </c>
      <c r="K5">
        <v>1</v>
      </c>
    </row>
    <row r="6" spans="1:11" s="1" customFormat="1" x14ac:dyDescent="0.3">
      <c r="A6" s="1" t="s">
        <v>13</v>
      </c>
      <c r="B6" s="1" t="s">
        <v>70</v>
      </c>
      <c r="C6" s="1">
        <v>0</v>
      </c>
      <c r="D6" s="1">
        <v>6</v>
      </c>
      <c r="E6" s="1">
        <v>1</v>
      </c>
      <c r="F6" s="1">
        <v>10</v>
      </c>
      <c r="G6" s="1">
        <v>1</v>
      </c>
      <c r="H6" s="1">
        <v>1</v>
      </c>
      <c r="I6" s="1">
        <v>0</v>
      </c>
    </row>
    <row r="7" spans="1:11" x14ac:dyDescent="0.3">
      <c r="A7" t="s">
        <v>15</v>
      </c>
      <c r="B7" t="s">
        <v>71</v>
      </c>
      <c r="F7">
        <v>11</v>
      </c>
      <c r="G7">
        <v>1</v>
      </c>
    </row>
    <row r="8" spans="1:11" x14ac:dyDescent="0.3">
      <c r="A8" t="s">
        <v>21</v>
      </c>
      <c r="B8" t="s">
        <v>72</v>
      </c>
      <c r="F8">
        <v>8</v>
      </c>
      <c r="G8">
        <v>1</v>
      </c>
      <c r="J8">
        <v>0</v>
      </c>
      <c r="K8">
        <v>5</v>
      </c>
    </row>
    <row r="9" spans="1:11" s="1" customFormat="1" x14ac:dyDescent="0.3">
      <c r="A9" s="1" t="s">
        <v>13</v>
      </c>
      <c r="B9" s="1" t="s">
        <v>73</v>
      </c>
      <c r="C9" s="1">
        <v>0</v>
      </c>
      <c r="D9" s="1">
        <v>1</v>
      </c>
      <c r="E9" s="1">
        <v>2</v>
      </c>
      <c r="F9" s="1">
        <v>11</v>
      </c>
      <c r="G9" s="1">
        <v>3</v>
      </c>
      <c r="H9" s="1">
        <v>1</v>
      </c>
      <c r="I9" s="1">
        <v>0</v>
      </c>
    </row>
    <row r="10" spans="1:11" x14ac:dyDescent="0.3">
      <c r="A10" t="s">
        <v>24</v>
      </c>
      <c r="B10" t="s">
        <v>74</v>
      </c>
      <c r="F10">
        <v>3</v>
      </c>
      <c r="G10">
        <v>1</v>
      </c>
      <c r="J10">
        <v>2</v>
      </c>
      <c r="K10">
        <v>2</v>
      </c>
    </row>
    <row r="11" spans="1:11" x14ac:dyDescent="0.3">
      <c r="A11" t="s">
        <v>17</v>
      </c>
      <c r="B11" t="s">
        <v>75</v>
      </c>
      <c r="F11">
        <v>5</v>
      </c>
      <c r="G11">
        <v>2</v>
      </c>
      <c r="J11">
        <v>3</v>
      </c>
      <c r="K11">
        <v>4</v>
      </c>
    </row>
    <row r="12" spans="1:11" x14ac:dyDescent="0.3">
      <c r="A12" t="s">
        <v>76</v>
      </c>
      <c r="B12" t="s">
        <v>77</v>
      </c>
      <c r="F12">
        <v>1</v>
      </c>
      <c r="G12">
        <v>1</v>
      </c>
      <c r="J12">
        <v>1</v>
      </c>
      <c r="K12">
        <v>2</v>
      </c>
    </row>
    <row r="13" spans="1:11" x14ac:dyDescent="0.3">
      <c r="A13" t="s">
        <v>15</v>
      </c>
      <c r="B13" t="s">
        <v>78</v>
      </c>
      <c r="F13">
        <v>12</v>
      </c>
      <c r="G13">
        <v>3</v>
      </c>
    </row>
    <row r="14" spans="1:11" s="1" customFormat="1" x14ac:dyDescent="0.3">
      <c r="A14" s="1" t="s">
        <v>13</v>
      </c>
      <c r="B14" s="1" t="s">
        <v>79</v>
      </c>
      <c r="C14" s="1">
        <v>17</v>
      </c>
      <c r="D14" s="1">
        <v>1</v>
      </c>
      <c r="E14" s="1">
        <v>2</v>
      </c>
      <c r="F14" s="1">
        <v>12</v>
      </c>
      <c r="G14" s="1">
        <v>2</v>
      </c>
      <c r="H14" s="1">
        <v>1</v>
      </c>
      <c r="I14" s="1">
        <v>0</v>
      </c>
    </row>
    <row r="15" spans="1:11" x14ac:dyDescent="0.3">
      <c r="A15" t="s">
        <v>24</v>
      </c>
      <c r="B15" t="s">
        <v>80</v>
      </c>
      <c r="F15">
        <v>5</v>
      </c>
      <c r="G15">
        <v>1</v>
      </c>
      <c r="J15">
        <v>4</v>
      </c>
      <c r="K15">
        <v>4</v>
      </c>
    </row>
    <row r="16" spans="1:11" x14ac:dyDescent="0.3">
      <c r="A16" t="s">
        <v>17</v>
      </c>
      <c r="B16" t="s">
        <v>81</v>
      </c>
      <c r="F16">
        <v>3</v>
      </c>
      <c r="G16">
        <v>1</v>
      </c>
      <c r="J16">
        <v>2</v>
      </c>
      <c r="K16">
        <v>1</v>
      </c>
    </row>
    <row r="17" spans="1:11" x14ac:dyDescent="0.3">
      <c r="A17" t="s">
        <v>15</v>
      </c>
      <c r="B17" t="s">
        <v>82</v>
      </c>
      <c r="F17">
        <v>13</v>
      </c>
      <c r="G17">
        <v>2</v>
      </c>
    </row>
    <row r="18" spans="1:11" s="1" customFormat="1" x14ac:dyDescent="0.3">
      <c r="A18" s="1" t="s">
        <v>13</v>
      </c>
      <c r="B18" s="1" t="s">
        <v>83</v>
      </c>
      <c r="C18" s="1">
        <v>0</v>
      </c>
      <c r="D18" s="1">
        <v>2</v>
      </c>
      <c r="E18" s="1">
        <v>2</v>
      </c>
      <c r="F18" s="1">
        <v>10</v>
      </c>
      <c r="G18" s="1">
        <v>2</v>
      </c>
      <c r="H18" s="1">
        <v>1</v>
      </c>
      <c r="I18" s="1">
        <v>0</v>
      </c>
    </row>
    <row r="19" spans="1:11" x14ac:dyDescent="0.3">
      <c r="A19" t="s">
        <v>24</v>
      </c>
      <c r="B19" t="s">
        <v>84</v>
      </c>
      <c r="F19">
        <v>3</v>
      </c>
      <c r="G19">
        <v>1</v>
      </c>
      <c r="J19">
        <v>2</v>
      </c>
      <c r="K19">
        <v>2</v>
      </c>
    </row>
    <row r="20" spans="1:11" x14ac:dyDescent="0.3">
      <c r="A20" t="s">
        <v>15</v>
      </c>
      <c r="B20" t="s">
        <v>85</v>
      </c>
      <c r="F20">
        <v>11</v>
      </c>
      <c r="G20">
        <v>2</v>
      </c>
    </row>
    <row r="21" spans="1:11" x14ac:dyDescent="0.3">
      <c r="A21" t="s">
        <v>17</v>
      </c>
      <c r="B21" t="s">
        <v>86</v>
      </c>
      <c r="F21">
        <v>5</v>
      </c>
      <c r="G21">
        <v>1</v>
      </c>
      <c r="J21">
        <v>5</v>
      </c>
      <c r="K21">
        <v>3</v>
      </c>
    </row>
    <row r="22" spans="1:11" x14ac:dyDescent="0.3">
      <c r="A22" t="s">
        <v>29</v>
      </c>
      <c r="B22" t="s">
        <v>87</v>
      </c>
      <c r="C22">
        <v>0</v>
      </c>
      <c r="D22">
        <v>0</v>
      </c>
      <c r="E22">
        <v>1</v>
      </c>
      <c r="F22">
        <v>3</v>
      </c>
      <c r="G22">
        <v>0</v>
      </c>
      <c r="H22">
        <v>0</v>
      </c>
      <c r="I22">
        <v>1</v>
      </c>
    </row>
    <row r="23" spans="1:11" x14ac:dyDescent="0.3">
      <c r="A23" t="s">
        <v>15</v>
      </c>
      <c r="B23" t="s">
        <v>88</v>
      </c>
      <c r="F23">
        <v>3</v>
      </c>
      <c r="G23">
        <v>0</v>
      </c>
    </row>
    <row r="24" spans="1:11" x14ac:dyDescent="0.3">
      <c r="A24" t="s">
        <v>32</v>
      </c>
      <c r="B24" t="s">
        <v>89</v>
      </c>
      <c r="F24">
        <v>1</v>
      </c>
      <c r="G24">
        <v>0</v>
      </c>
      <c r="J24">
        <v>1</v>
      </c>
      <c r="K24">
        <v>0</v>
      </c>
    </row>
    <row r="25" spans="1:11" x14ac:dyDescent="0.3">
      <c r="B25" t="s">
        <v>41</v>
      </c>
      <c r="C25">
        <f>AVERAGE(C18,C14,C9,C6,C3)</f>
        <v>3.4</v>
      </c>
      <c r="D25">
        <f t="shared" ref="D25:I25" si="0">AVERAGE(D18,D14,D9,D6,D3)</f>
        <v>2.2000000000000002</v>
      </c>
      <c r="E25">
        <f t="shared" si="0"/>
        <v>1.6</v>
      </c>
      <c r="F25">
        <f t="shared" si="0"/>
        <v>9.8000000000000007</v>
      </c>
      <c r="G25">
        <f t="shared" si="0"/>
        <v>1.8</v>
      </c>
      <c r="H25">
        <f t="shared" si="0"/>
        <v>1</v>
      </c>
      <c r="I25">
        <f t="shared" si="0"/>
        <v>0</v>
      </c>
      <c r="J25">
        <f>AVERAGE(J24,J21,J19,J16,J15,J12,J11,J10,J8,J5)</f>
        <v>2.2999999999999998</v>
      </c>
      <c r="K25">
        <f>AVERAGE(K24,K21,K19,K16,K15,K12,K11,K10,K8,K5)</f>
        <v>2.4</v>
      </c>
    </row>
    <row r="26" spans="1:11" x14ac:dyDescent="0.3">
      <c r="B26" t="s">
        <v>42</v>
      </c>
      <c r="C26">
        <f>MEDIAN(C18,C14,C9,C6,C3)</f>
        <v>0</v>
      </c>
      <c r="D26">
        <f t="shared" ref="D26:I26" si="1">MEDIAN(D18,D14,D9,D6,D3)</f>
        <v>1</v>
      </c>
      <c r="E26">
        <f t="shared" si="1"/>
        <v>2</v>
      </c>
      <c r="F26">
        <f t="shared" si="1"/>
        <v>10</v>
      </c>
      <c r="G26">
        <f t="shared" si="1"/>
        <v>2</v>
      </c>
      <c r="H26">
        <f t="shared" si="1"/>
        <v>1</v>
      </c>
      <c r="I26">
        <f t="shared" si="1"/>
        <v>0</v>
      </c>
      <c r="J26">
        <f>MEDIAN(J24,J21,J19,J16,J15,J12,J11,J10,J8,J5)</f>
        <v>2</v>
      </c>
      <c r="K26">
        <f>MEDIAN(K24,K21,K19,K16,K15,K12,K11,K10,K8,K5)</f>
        <v>2</v>
      </c>
    </row>
    <row r="27" spans="1:11" x14ac:dyDescent="0.3">
      <c r="B27" t="s">
        <v>43</v>
      </c>
      <c r="C27">
        <v>17</v>
      </c>
      <c r="D27">
        <v>6</v>
      </c>
      <c r="E27">
        <v>2</v>
      </c>
      <c r="F27">
        <v>12</v>
      </c>
      <c r="G27">
        <v>3</v>
      </c>
      <c r="H27">
        <v>1</v>
      </c>
      <c r="I27">
        <v>0</v>
      </c>
      <c r="J27">
        <v>5</v>
      </c>
      <c r="K27"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968C-67C0-4948-9538-F9606FBC57C8}">
  <dimension ref="A1:K11"/>
  <sheetViews>
    <sheetView workbookViewId="0">
      <selection activeCell="K12" sqref="K12"/>
    </sheetView>
  </sheetViews>
  <sheetFormatPr defaultRowHeight="14.4" x14ac:dyDescent="0.3"/>
  <cols>
    <col min="2" max="2" width="29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8</v>
      </c>
      <c r="E1" t="s">
        <v>7</v>
      </c>
      <c r="F1" t="s">
        <v>10</v>
      </c>
      <c r="G1" t="s">
        <v>2</v>
      </c>
      <c r="H1" t="s">
        <v>9</v>
      </c>
      <c r="I1" t="s">
        <v>4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F2">
        <v>41</v>
      </c>
      <c r="G2">
        <v>5</v>
      </c>
    </row>
    <row r="3" spans="1:11" x14ac:dyDescent="0.3">
      <c r="A3" t="s">
        <v>13</v>
      </c>
      <c r="B3" t="s">
        <v>90</v>
      </c>
      <c r="C3">
        <v>0</v>
      </c>
      <c r="D3">
        <v>3</v>
      </c>
      <c r="E3">
        <v>1</v>
      </c>
      <c r="F3">
        <v>16</v>
      </c>
      <c r="G3">
        <v>1</v>
      </c>
      <c r="H3">
        <v>0</v>
      </c>
      <c r="I3">
        <v>1</v>
      </c>
    </row>
    <row r="4" spans="1:11" x14ac:dyDescent="0.3">
      <c r="A4" t="s">
        <v>15</v>
      </c>
      <c r="B4" t="s">
        <v>91</v>
      </c>
      <c r="F4">
        <v>19</v>
      </c>
      <c r="G4">
        <v>1</v>
      </c>
    </row>
    <row r="5" spans="1:11" x14ac:dyDescent="0.3">
      <c r="A5" t="s">
        <v>21</v>
      </c>
      <c r="B5" t="s">
        <v>92</v>
      </c>
      <c r="F5">
        <v>15</v>
      </c>
      <c r="G5">
        <v>1</v>
      </c>
      <c r="J5">
        <v>0</v>
      </c>
      <c r="K5">
        <v>2</v>
      </c>
    </row>
    <row r="6" spans="1:11" x14ac:dyDescent="0.3">
      <c r="A6" t="s">
        <v>13</v>
      </c>
      <c r="B6" t="s">
        <v>93</v>
      </c>
      <c r="C6">
        <v>0</v>
      </c>
      <c r="D6">
        <v>6</v>
      </c>
      <c r="E6">
        <v>1</v>
      </c>
      <c r="F6">
        <v>19</v>
      </c>
      <c r="G6">
        <v>4</v>
      </c>
      <c r="H6">
        <v>0</v>
      </c>
      <c r="I6">
        <v>1</v>
      </c>
    </row>
    <row r="7" spans="1:11" x14ac:dyDescent="0.3">
      <c r="A7" t="s">
        <v>15</v>
      </c>
      <c r="B7" t="s">
        <v>94</v>
      </c>
      <c r="F7">
        <v>22</v>
      </c>
      <c r="G7">
        <v>4</v>
      </c>
    </row>
    <row r="8" spans="1:11" x14ac:dyDescent="0.3">
      <c r="A8" t="s">
        <v>17</v>
      </c>
      <c r="B8" t="s">
        <v>95</v>
      </c>
      <c r="F8">
        <v>17</v>
      </c>
      <c r="G8">
        <v>4</v>
      </c>
      <c r="J8">
        <v>5</v>
      </c>
      <c r="K8">
        <v>4</v>
      </c>
    </row>
    <row r="9" spans="1:11" x14ac:dyDescent="0.3">
      <c r="B9" t="s">
        <v>41</v>
      </c>
      <c r="C9">
        <f>AVERAGE(C6,C3)</f>
        <v>0</v>
      </c>
      <c r="D9">
        <f t="shared" ref="D9:I9" si="0">AVERAGE(D6,D3)</f>
        <v>4.5</v>
      </c>
      <c r="E9">
        <f t="shared" si="0"/>
        <v>1</v>
      </c>
      <c r="F9">
        <f t="shared" si="0"/>
        <v>17.5</v>
      </c>
      <c r="G9">
        <f t="shared" si="0"/>
        <v>2.5</v>
      </c>
      <c r="H9">
        <f t="shared" si="0"/>
        <v>0</v>
      </c>
      <c r="I9">
        <f t="shared" si="0"/>
        <v>1</v>
      </c>
      <c r="J9">
        <f>AVERAGE(J8,J5)</f>
        <v>2.5</v>
      </c>
      <c r="K9">
        <f>AVERAGE(K8,K5)</f>
        <v>3</v>
      </c>
    </row>
    <row r="10" spans="1:11" x14ac:dyDescent="0.3">
      <c r="B10" t="s">
        <v>42</v>
      </c>
      <c r="C10">
        <f>MEDIAN(C6,C3)</f>
        <v>0</v>
      </c>
      <c r="D10">
        <f t="shared" ref="D10:I10" si="1">MEDIAN(D6,D3)</f>
        <v>4.5</v>
      </c>
      <c r="E10">
        <f t="shared" si="1"/>
        <v>1</v>
      </c>
      <c r="F10">
        <f t="shared" si="1"/>
        <v>17.5</v>
      </c>
      <c r="G10">
        <f t="shared" si="1"/>
        <v>2.5</v>
      </c>
      <c r="H10">
        <f t="shared" si="1"/>
        <v>0</v>
      </c>
      <c r="I10">
        <f t="shared" si="1"/>
        <v>1</v>
      </c>
      <c r="J10">
        <f>MEDIAN(J8,J5)</f>
        <v>2.5</v>
      </c>
      <c r="K10">
        <f>MEDIAN(K8,K5)</f>
        <v>3</v>
      </c>
    </row>
    <row r="11" spans="1:11" x14ac:dyDescent="0.3">
      <c r="B11" t="s">
        <v>43</v>
      </c>
      <c r="C11">
        <v>0</v>
      </c>
      <c r="D11">
        <v>6</v>
      </c>
      <c r="E11">
        <v>1</v>
      </c>
      <c r="F11">
        <v>19</v>
      </c>
      <c r="G11">
        <v>4</v>
      </c>
      <c r="H11">
        <v>0</v>
      </c>
      <c r="I11">
        <v>1</v>
      </c>
      <c r="J11">
        <v>5</v>
      </c>
      <c r="K11">
        <v>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9448-3165-4847-99DE-5C5B51F0CDDB}">
  <dimension ref="A1:H10"/>
  <sheetViews>
    <sheetView workbookViewId="0">
      <selection activeCell="C18" sqref="C18"/>
    </sheetView>
  </sheetViews>
  <sheetFormatPr defaultRowHeight="14.4" x14ac:dyDescent="0.3"/>
  <cols>
    <col min="1" max="1" width="16" customWidth="1"/>
    <col min="2" max="2" width="22.21875" customWidth="1"/>
    <col min="3" max="3" width="15.21875" customWidth="1"/>
    <col min="4" max="4" width="15.6640625" customWidth="1"/>
    <col min="5" max="5" width="12.21875" customWidth="1"/>
    <col min="6" max="6" width="8.88671875" customWidth="1"/>
    <col min="7" max="7" width="11" customWidth="1"/>
    <col min="8" max="8" width="11.77734375" customWidth="1"/>
  </cols>
  <sheetData>
    <row r="1" spans="1:8" ht="34.200000000000003" thickBot="1" x14ac:dyDescent="0.35">
      <c r="A1" s="3" t="s">
        <v>50</v>
      </c>
      <c r="B1" s="3" t="s">
        <v>51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</row>
    <row r="2" spans="1:8" ht="17.399999999999999" thickBot="1" x14ac:dyDescent="0.35">
      <c r="A2" s="3" t="s">
        <v>52</v>
      </c>
      <c r="B2" s="4" t="s">
        <v>3</v>
      </c>
      <c r="C2" s="4">
        <v>3.4</v>
      </c>
      <c r="D2" s="5">
        <v>0</v>
      </c>
      <c r="E2" s="4">
        <v>17</v>
      </c>
      <c r="F2" s="4">
        <v>0</v>
      </c>
      <c r="G2" s="5">
        <v>0</v>
      </c>
      <c r="H2" s="4">
        <v>0</v>
      </c>
    </row>
    <row r="3" spans="1:8" ht="17.399999999999999" thickBot="1" x14ac:dyDescent="0.35">
      <c r="A3" s="3" t="s">
        <v>53</v>
      </c>
      <c r="B3" s="4" t="s">
        <v>8</v>
      </c>
      <c r="C3" s="4">
        <v>2.2000000000000002</v>
      </c>
      <c r="D3" s="5">
        <v>1</v>
      </c>
      <c r="E3" s="4">
        <v>6</v>
      </c>
      <c r="F3" s="4">
        <v>4.5</v>
      </c>
      <c r="G3" s="5">
        <v>4.5</v>
      </c>
      <c r="H3" s="4">
        <v>6</v>
      </c>
    </row>
    <row r="4" spans="1:8" ht="17.399999999999999" thickBot="1" x14ac:dyDescent="0.35">
      <c r="A4" s="3" t="s">
        <v>54</v>
      </c>
      <c r="B4" s="4" t="s">
        <v>7</v>
      </c>
      <c r="C4" s="4">
        <v>1.6</v>
      </c>
      <c r="D4" s="5">
        <v>2</v>
      </c>
      <c r="E4" s="4">
        <v>2</v>
      </c>
      <c r="F4" s="4">
        <v>1</v>
      </c>
      <c r="G4" s="5">
        <v>1</v>
      </c>
      <c r="H4" s="4">
        <v>1</v>
      </c>
    </row>
    <row r="5" spans="1:8" ht="17.399999999999999" thickBot="1" x14ac:dyDescent="0.35">
      <c r="A5" s="3" t="s">
        <v>55</v>
      </c>
      <c r="B5" s="4" t="s">
        <v>5</v>
      </c>
      <c r="C5" s="4">
        <v>2.2999999999999998</v>
      </c>
      <c r="D5" s="5">
        <v>2</v>
      </c>
      <c r="E5" s="4">
        <v>5</v>
      </c>
      <c r="F5" s="4">
        <v>2.5</v>
      </c>
      <c r="G5" s="5">
        <v>2.5</v>
      </c>
      <c r="H5" s="4">
        <v>5</v>
      </c>
    </row>
    <row r="6" spans="1:8" ht="17.399999999999999" thickBot="1" x14ac:dyDescent="0.35">
      <c r="A6" s="3" t="s">
        <v>56</v>
      </c>
      <c r="B6" s="4" t="s">
        <v>6</v>
      </c>
      <c r="C6" s="4">
        <v>2.4</v>
      </c>
      <c r="D6" s="5">
        <v>2</v>
      </c>
      <c r="E6" s="4">
        <v>5</v>
      </c>
      <c r="F6" s="4">
        <v>3</v>
      </c>
      <c r="G6" s="5">
        <v>3</v>
      </c>
      <c r="H6" s="4">
        <v>4</v>
      </c>
    </row>
    <row r="7" spans="1:8" ht="17.399999999999999" thickBot="1" x14ac:dyDescent="0.35">
      <c r="A7" s="3" t="s">
        <v>57</v>
      </c>
      <c r="B7" s="4" t="s">
        <v>2</v>
      </c>
      <c r="C7" s="4">
        <v>1.8</v>
      </c>
      <c r="D7" s="5">
        <v>2</v>
      </c>
      <c r="E7" s="4">
        <v>3</v>
      </c>
      <c r="F7" s="4">
        <v>2.5</v>
      </c>
      <c r="G7" s="5">
        <v>2.5</v>
      </c>
      <c r="H7" s="4">
        <v>4</v>
      </c>
    </row>
    <row r="8" spans="1:8" ht="17.399999999999999" thickBot="1" x14ac:dyDescent="0.35">
      <c r="A8" s="3" t="s">
        <v>58</v>
      </c>
      <c r="B8" s="4" t="s">
        <v>4</v>
      </c>
      <c r="C8" s="4">
        <v>1</v>
      </c>
      <c r="D8" s="5">
        <v>1</v>
      </c>
      <c r="E8" s="4">
        <v>1</v>
      </c>
      <c r="F8" s="4">
        <v>1</v>
      </c>
      <c r="G8" s="5">
        <v>1</v>
      </c>
      <c r="H8" s="4">
        <v>1</v>
      </c>
    </row>
    <row r="9" spans="1:8" ht="17.399999999999999" thickBot="1" x14ac:dyDescent="0.35">
      <c r="A9" s="3" t="s">
        <v>59</v>
      </c>
      <c r="B9" s="4" t="s">
        <v>9</v>
      </c>
      <c r="C9" s="4">
        <v>0</v>
      </c>
      <c r="D9" s="5">
        <v>0</v>
      </c>
      <c r="E9" s="4">
        <v>0</v>
      </c>
      <c r="F9" s="4">
        <v>0</v>
      </c>
      <c r="G9" s="5">
        <v>0</v>
      </c>
      <c r="H9" s="4">
        <v>0</v>
      </c>
    </row>
    <row r="10" spans="1:8" ht="17.399999999999999" thickBot="1" x14ac:dyDescent="0.35">
      <c r="A10" s="3" t="s">
        <v>60</v>
      </c>
      <c r="B10" s="4" t="s">
        <v>10</v>
      </c>
      <c r="C10" s="4">
        <v>9.8000000000000007</v>
      </c>
      <c r="D10" s="5">
        <v>10</v>
      </c>
      <c r="E10" s="4">
        <v>12</v>
      </c>
      <c r="F10" s="4">
        <v>17.5</v>
      </c>
      <c r="G10" s="5">
        <v>17.5</v>
      </c>
      <c r="H10" s="4">
        <v>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A720-33A3-4860-B106-ED1AFE244A17}">
  <dimension ref="A1:K26"/>
  <sheetViews>
    <sheetView topLeftCell="A8" workbookViewId="0">
      <selection activeCell="B24" sqref="B24:B26"/>
    </sheetView>
  </sheetViews>
  <sheetFormatPr defaultRowHeight="14.4" x14ac:dyDescent="0.3"/>
  <cols>
    <col min="1" max="1" width="24" customWidth="1"/>
    <col min="2" max="2" width="30.33203125" customWidth="1"/>
    <col min="3" max="3" width="13.21875" customWidth="1"/>
    <col min="4" max="4" width="14.109375" customWidth="1"/>
    <col min="5" max="5" width="18.33203125" customWidth="1"/>
    <col min="6" max="6" width="20.88671875" customWidth="1"/>
    <col min="7" max="7" width="19.6640625" customWidth="1"/>
    <col min="9" max="9" width="2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4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C2">
        <v>8</v>
      </c>
      <c r="H2">
        <v>59</v>
      </c>
    </row>
    <row r="3" spans="1:11" s="1" customFormat="1" x14ac:dyDescent="0.3">
      <c r="A3" s="1" t="s">
        <v>13</v>
      </c>
      <c r="B3" s="1" t="s">
        <v>14</v>
      </c>
      <c r="C3" s="1">
        <v>1</v>
      </c>
      <c r="D3" s="1">
        <v>0</v>
      </c>
      <c r="E3" s="1">
        <v>1</v>
      </c>
      <c r="F3" s="1">
        <v>2</v>
      </c>
      <c r="G3" s="1">
        <v>0</v>
      </c>
      <c r="H3" s="1">
        <v>10</v>
      </c>
      <c r="I3" s="1">
        <v>1</v>
      </c>
    </row>
    <row r="4" spans="1:11" x14ac:dyDescent="0.3">
      <c r="A4" t="s">
        <v>15</v>
      </c>
      <c r="B4" t="s">
        <v>16</v>
      </c>
      <c r="C4">
        <v>1</v>
      </c>
      <c r="H4">
        <v>11</v>
      </c>
    </row>
    <row r="5" spans="1:11" x14ac:dyDescent="0.3">
      <c r="A5" t="s">
        <v>17</v>
      </c>
      <c r="B5" t="s">
        <v>18</v>
      </c>
      <c r="C5">
        <v>1</v>
      </c>
      <c r="H5">
        <v>9</v>
      </c>
      <c r="J5">
        <v>3</v>
      </c>
      <c r="K5">
        <v>3</v>
      </c>
    </row>
    <row r="6" spans="1:11" s="1" customFormat="1" x14ac:dyDescent="0.3">
      <c r="A6" s="1" t="s">
        <v>13</v>
      </c>
      <c r="B6" s="1" t="s">
        <v>19</v>
      </c>
      <c r="C6" s="1">
        <v>1</v>
      </c>
      <c r="D6" s="1">
        <v>0</v>
      </c>
      <c r="E6" s="1">
        <v>1</v>
      </c>
      <c r="F6" s="1">
        <v>4</v>
      </c>
      <c r="G6" s="1">
        <v>0</v>
      </c>
      <c r="H6" s="1">
        <v>10</v>
      </c>
      <c r="I6" s="1">
        <v>1</v>
      </c>
    </row>
    <row r="7" spans="1:11" x14ac:dyDescent="0.3">
      <c r="A7" t="s">
        <v>15</v>
      </c>
      <c r="B7" t="s">
        <v>20</v>
      </c>
      <c r="C7">
        <v>1</v>
      </c>
      <c r="H7">
        <v>11</v>
      </c>
    </row>
    <row r="8" spans="1:11" x14ac:dyDescent="0.3">
      <c r="A8" t="s">
        <v>21</v>
      </c>
      <c r="B8" t="s">
        <v>22</v>
      </c>
      <c r="C8">
        <v>1</v>
      </c>
      <c r="H8">
        <v>9</v>
      </c>
      <c r="J8">
        <v>0</v>
      </c>
      <c r="K8">
        <v>3</v>
      </c>
    </row>
    <row r="9" spans="1:11" s="1" customFormat="1" x14ac:dyDescent="0.3">
      <c r="A9" s="1" t="s">
        <v>13</v>
      </c>
      <c r="B9" s="1" t="s">
        <v>23</v>
      </c>
      <c r="C9" s="1">
        <v>3</v>
      </c>
      <c r="D9" s="1">
        <v>33</v>
      </c>
      <c r="E9" s="1">
        <v>3</v>
      </c>
      <c r="F9" s="1">
        <v>1</v>
      </c>
      <c r="G9" s="1">
        <v>0</v>
      </c>
      <c r="H9" s="1">
        <v>13</v>
      </c>
      <c r="I9" s="1">
        <v>1</v>
      </c>
    </row>
    <row r="10" spans="1:11" x14ac:dyDescent="0.3">
      <c r="A10" t="s">
        <v>24</v>
      </c>
      <c r="B10" t="s">
        <v>25</v>
      </c>
      <c r="C10">
        <v>1</v>
      </c>
      <c r="H10">
        <v>4</v>
      </c>
      <c r="J10">
        <v>3</v>
      </c>
      <c r="K10">
        <v>3</v>
      </c>
    </row>
    <row r="11" spans="1:11" x14ac:dyDescent="0.3">
      <c r="A11" t="s">
        <v>17</v>
      </c>
      <c r="B11" t="s">
        <v>26</v>
      </c>
      <c r="C11">
        <v>1</v>
      </c>
      <c r="H11">
        <v>3</v>
      </c>
      <c r="J11">
        <v>3</v>
      </c>
      <c r="K11">
        <v>1</v>
      </c>
    </row>
    <row r="12" spans="1:11" x14ac:dyDescent="0.3">
      <c r="A12" t="s">
        <v>17</v>
      </c>
      <c r="B12" t="s">
        <v>27</v>
      </c>
      <c r="C12">
        <v>1</v>
      </c>
      <c r="H12">
        <v>3</v>
      </c>
      <c r="J12">
        <v>3</v>
      </c>
      <c r="K12">
        <v>1</v>
      </c>
    </row>
    <row r="13" spans="1:11" x14ac:dyDescent="0.3">
      <c r="A13" t="s">
        <v>15</v>
      </c>
      <c r="B13" t="s">
        <v>28</v>
      </c>
      <c r="C13">
        <v>3</v>
      </c>
      <c r="H13">
        <v>14</v>
      </c>
    </row>
    <row r="14" spans="1:11" x14ac:dyDescent="0.3">
      <c r="A14" t="s">
        <v>29</v>
      </c>
      <c r="B14" t="s">
        <v>30</v>
      </c>
      <c r="C14">
        <v>0</v>
      </c>
      <c r="D14">
        <v>0</v>
      </c>
      <c r="E14">
        <v>1</v>
      </c>
      <c r="F14">
        <v>1</v>
      </c>
      <c r="G14">
        <v>2</v>
      </c>
      <c r="H14">
        <v>2</v>
      </c>
      <c r="I14">
        <v>0</v>
      </c>
    </row>
    <row r="15" spans="1:11" x14ac:dyDescent="0.3">
      <c r="A15" t="s">
        <v>15</v>
      </c>
      <c r="B15" t="s">
        <v>31</v>
      </c>
      <c r="C15">
        <v>0</v>
      </c>
      <c r="H15">
        <v>3</v>
      </c>
    </row>
    <row r="16" spans="1:11" x14ac:dyDescent="0.3">
      <c r="A16" t="s">
        <v>32</v>
      </c>
      <c r="B16" t="s">
        <v>33</v>
      </c>
      <c r="C16">
        <v>0</v>
      </c>
      <c r="H16">
        <v>1</v>
      </c>
      <c r="J16">
        <v>1</v>
      </c>
      <c r="K16">
        <v>0</v>
      </c>
    </row>
    <row r="17" spans="1:11" s="1" customFormat="1" x14ac:dyDescent="0.3">
      <c r="A17" s="1" t="s">
        <v>13</v>
      </c>
      <c r="B17" s="1" t="s">
        <v>34</v>
      </c>
      <c r="C17" s="1">
        <v>2</v>
      </c>
      <c r="D17" s="1">
        <v>0</v>
      </c>
      <c r="E17" s="1">
        <v>2</v>
      </c>
      <c r="F17" s="1">
        <v>2</v>
      </c>
      <c r="G17" s="1">
        <v>0</v>
      </c>
      <c r="H17" s="1">
        <v>8</v>
      </c>
      <c r="I17" s="1">
        <v>1</v>
      </c>
    </row>
    <row r="18" spans="1:11" x14ac:dyDescent="0.3">
      <c r="A18" t="s">
        <v>24</v>
      </c>
      <c r="B18" t="s">
        <v>35</v>
      </c>
      <c r="C18">
        <v>1</v>
      </c>
      <c r="H18">
        <v>3</v>
      </c>
      <c r="J18">
        <v>2</v>
      </c>
      <c r="K18">
        <v>2</v>
      </c>
    </row>
    <row r="19" spans="1:11" x14ac:dyDescent="0.3">
      <c r="A19" t="s">
        <v>15</v>
      </c>
      <c r="B19" t="s">
        <v>36</v>
      </c>
      <c r="C19">
        <v>2</v>
      </c>
      <c r="H19">
        <v>9</v>
      </c>
    </row>
    <row r="20" spans="1:11" x14ac:dyDescent="0.3">
      <c r="A20" t="s">
        <v>17</v>
      </c>
      <c r="B20" t="s">
        <v>37</v>
      </c>
      <c r="C20">
        <v>1</v>
      </c>
      <c r="H20">
        <v>3</v>
      </c>
      <c r="J20">
        <v>3</v>
      </c>
      <c r="K20">
        <v>1</v>
      </c>
    </row>
    <row r="21" spans="1:11" s="1" customFormat="1" x14ac:dyDescent="0.3">
      <c r="A21" s="1" t="s">
        <v>13</v>
      </c>
      <c r="B21" s="1" t="s">
        <v>38</v>
      </c>
      <c r="C21" s="1">
        <v>1</v>
      </c>
      <c r="D21" s="1">
        <v>0</v>
      </c>
      <c r="E21" s="1">
        <v>1</v>
      </c>
      <c r="F21" s="1">
        <v>2</v>
      </c>
      <c r="G21" s="1">
        <v>0</v>
      </c>
      <c r="H21" s="1">
        <v>10</v>
      </c>
      <c r="I21" s="1">
        <v>1</v>
      </c>
    </row>
    <row r="22" spans="1:11" x14ac:dyDescent="0.3">
      <c r="A22" t="s">
        <v>15</v>
      </c>
      <c r="B22" t="s">
        <v>39</v>
      </c>
      <c r="C22">
        <v>1</v>
      </c>
      <c r="H22">
        <v>11</v>
      </c>
    </row>
    <row r="23" spans="1:11" x14ac:dyDescent="0.3">
      <c r="A23" t="s">
        <v>17</v>
      </c>
      <c r="B23" t="s">
        <v>40</v>
      </c>
      <c r="C23">
        <v>1</v>
      </c>
      <c r="H23">
        <v>9</v>
      </c>
      <c r="J23">
        <v>3</v>
      </c>
      <c r="K23">
        <v>3</v>
      </c>
    </row>
    <row r="24" spans="1:11" s="2" customFormat="1" x14ac:dyDescent="0.3">
      <c r="B24" s="2" t="s">
        <v>41</v>
      </c>
      <c r="C24" s="2">
        <f>AVERAGE(C21,C17,C9,C6,C3)</f>
        <v>1.6</v>
      </c>
      <c r="D24" s="2">
        <f t="shared" ref="D24:E24" si="0">AVERAGE(D21,D17,D9,D6,D3)</f>
        <v>6.6</v>
      </c>
      <c r="E24" s="2">
        <f t="shared" si="0"/>
        <v>1.6</v>
      </c>
      <c r="F24" s="2">
        <f t="shared" ref="F24:G24" si="1">AVERAGE(F21,F17,F9,F6,F3)</f>
        <v>2.2000000000000002</v>
      </c>
      <c r="G24" s="2">
        <f t="shared" si="1"/>
        <v>0</v>
      </c>
      <c r="H24" s="2">
        <f t="shared" ref="H24:I24" si="2">AVERAGE(H21,H17,H9,H6,H3)</f>
        <v>10.199999999999999</v>
      </c>
      <c r="I24" s="2">
        <f t="shared" si="2"/>
        <v>1</v>
      </c>
      <c r="J24" s="2">
        <f>AVERAGE(J5,J8,J12,J11,J16,J18,J20,J23,J10)</f>
        <v>2.3333333333333335</v>
      </c>
      <c r="K24" s="2">
        <f>AVERAGE(K5,K8,K12,K11,K16,K18,K20,K23,K10)</f>
        <v>1.8888888888888888</v>
      </c>
    </row>
    <row r="25" spans="1:11" s="2" customFormat="1" x14ac:dyDescent="0.3">
      <c r="B25" s="2" t="s">
        <v>42</v>
      </c>
      <c r="C25" s="2">
        <f>MEDIAN(C21,C17,C9,C6,C3)</f>
        <v>1</v>
      </c>
      <c r="D25" s="2">
        <f t="shared" ref="D25:E25" si="3">MEDIAN(D21,D17,D9,D6,D3)</f>
        <v>0</v>
      </c>
      <c r="E25" s="2">
        <f t="shared" si="3"/>
        <v>1</v>
      </c>
      <c r="F25" s="2">
        <f t="shared" ref="F25:G25" si="4">MEDIAN(F21,F17,F9,F6,F3)</f>
        <v>2</v>
      </c>
      <c r="G25" s="2">
        <f t="shared" si="4"/>
        <v>0</v>
      </c>
      <c r="H25" s="2">
        <f t="shared" ref="H25:I25" si="5">MEDIAN(H21,H17,H9,H6,H3)</f>
        <v>10</v>
      </c>
      <c r="I25" s="2">
        <f t="shared" si="5"/>
        <v>1</v>
      </c>
      <c r="J25" s="2">
        <f>MEDIAN(J23,J20,J18,J16,J12,J11,J10,J8,J5)</f>
        <v>3</v>
      </c>
      <c r="K25" s="2">
        <f>MEDIAN(K23,K20,K18,K16,K12,K11,K10,K8,K5)</f>
        <v>2</v>
      </c>
    </row>
    <row r="26" spans="1:11" s="2" customFormat="1" x14ac:dyDescent="0.3">
      <c r="B26" s="2" t="s">
        <v>43</v>
      </c>
      <c r="C26" s="2">
        <v>3</v>
      </c>
      <c r="D26" s="2">
        <v>33</v>
      </c>
      <c r="E26" s="2">
        <v>5</v>
      </c>
      <c r="F26" s="2">
        <v>4</v>
      </c>
      <c r="G26" s="2">
        <v>0</v>
      </c>
      <c r="H26" s="2">
        <v>13</v>
      </c>
      <c r="I26" s="2">
        <v>1</v>
      </c>
      <c r="J26" s="2">
        <v>3</v>
      </c>
      <c r="K26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CFA0-C300-42AA-BA6F-21FDC87F551A}">
  <dimension ref="A1:K23"/>
  <sheetViews>
    <sheetView workbookViewId="0">
      <selection activeCell="J21" sqref="J21"/>
    </sheetView>
  </sheetViews>
  <sheetFormatPr defaultRowHeight="14.4" x14ac:dyDescent="0.3"/>
  <cols>
    <col min="1" max="1" width="26" customWidth="1"/>
    <col min="2" max="2" width="23.77734375" customWidth="1"/>
    <col min="3" max="3" width="18.77734375" customWidth="1"/>
    <col min="4" max="4" width="16.44140625" customWidth="1"/>
    <col min="5" max="5" width="16.109375" customWidth="1"/>
    <col min="7" max="7" width="9.109375" customWidth="1"/>
    <col min="9" max="9" width="16.5546875" customWidth="1"/>
    <col min="11" max="11" width="16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7</v>
      </c>
      <c r="E1" t="s">
        <v>10</v>
      </c>
      <c r="F1" t="s">
        <v>2</v>
      </c>
      <c r="G1" t="s">
        <v>3</v>
      </c>
      <c r="H1" t="s">
        <v>4</v>
      </c>
      <c r="I1" t="s">
        <v>8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E2">
        <v>59</v>
      </c>
      <c r="F2">
        <v>10</v>
      </c>
    </row>
    <row r="3" spans="1:11" s="1" customFormat="1" x14ac:dyDescent="0.3">
      <c r="A3" s="1" t="s">
        <v>13</v>
      </c>
      <c r="B3" s="1" t="s">
        <v>44</v>
      </c>
      <c r="C3" s="1">
        <v>0</v>
      </c>
      <c r="D3" s="1">
        <v>1</v>
      </c>
      <c r="E3" s="1">
        <v>4</v>
      </c>
      <c r="F3" s="1">
        <v>1</v>
      </c>
      <c r="G3" s="1">
        <v>0</v>
      </c>
      <c r="H3" s="1">
        <v>1</v>
      </c>
      <c r="I3" s="1">
        <v>1</v>
      </c>
    </row>
    <row r="4" spans="1:11" x14ac:dyDescent="0.3">
      <c r="A4" t="s">
        <v>15</v>
      </c>
      <c r="B4" t="s">
        <v>45</v>
      </c>
      <c r="E4">
        <v>5</v>
      </c>
      <c r="F4">
        <v>1</v>
      </c>
    </row>
    <row r="5" spans="1:11" x14ac:dyDescent="0.3">
      <c r="A5" t="s">
        <v>17</v>
      </c>
      <c r="B5" t="s">
        <v>46</v>
      </c>
      <c r="E5">
        <v>3</v>
      </c>
      <c r="F5">
        <v>1</v>
      </c>
      <c r="J5">
        <v>5</v>
      </c>
      <c r="K5">
        <v>1</v>
      </c>
    </row>
    <row r="6" spans="1:11" s="1" customFormat="1" x14ac:dyDescent="0.3">
      <c r="A6" s="1" t="s">
        <v>13</v>
      </c>
      <c r="B6" s="1" t="s">
        <v>19</v>
      </c>
      <c r="C6" s="1">
        <v>0</v>
      </c>
      <c r="D6" s="1">
        <v>1</v>
      </c>
      <c r="E6" s="1">
        <v>9</v>
      </c>
      <c r="F6" s="1">
        <v>1</v>
      </c>
      <c r="G6" s="1">
        <v>0</v>
      </c>
      <c r="H6" s="1">
        <v>1</v>
      </c>
      <c r="I6" s="1">
        <v>2</v>
      </c>
    </row>
    <row r="7" spans="1:11" x14ac:dyDescent="0.3">
      <c r="A7" t="s">
        <v>15</v>
      </c>
      <c r="B7" t="s">
        <v>20</v>
      </c>
      <c r="E7">
        <v>10</v>
      </c>
      <c r="F7">
        <v>1</v>
      </c>
    </row>
    <row r="8" spans="1:11" x14ac:dyDescent="0.3">
      <c r="A8" t="s">
        <v>21</v>
      </c>
      <c r="B8" t="s">
        <v>22</v>
      </c>
      <c r="E8">
        <v>8</v>
      </c>
      <c r="F8">
        <v>1</v>
      </c>
      <c r="J8">
        <v>0</v>
      </c>
      <c r="K8">
        <v>3</v>
      </c>
    </row>
    <row r="9" spans="1:11" s="1" customFormat="1" x14ac:dyDescent="0.3">
      <c r="A9" s="1" t="s">
        <v>13</v>
      </c>
      <c r="B9" s="1" t="s">
        <v>23</v>
      </c>
      <c r="C9" s="1">
        <v>0</v>
      </c>
      <c r="D9" s="1">
        <v>3</v>
      </c>
      <c r="E9" s="1">
        <v>13</v>
      </c>
      <c r="F9" s="1">
        <v>3</v>
      </c>
      <c r="G9" s="1">
        <v>33</v>
      </c>
      <c r="H9" s="1">
        <v>1</v>
      </c>
      <c r="I9" s="1">
        <v>1</v>
      </c>
    </row>
    <row r="10" spans="1:11" x14ac:dyDescent="0.3">
      <c r="A10" t="s">
        <v>24</v>
      </c>
      <c r="B10" t="s">
        <v>25</v>
      </c>
      <c r="E10">
        <v>4</v>
      </c>
      <c r="F10">
        <v>1</v>
      </c>
      <c r="J10">
        <v>3</v>
      </c>
      <c r="K10">
        <v>3</v>
      </c>
    </row>
    <row r="11" spans="1:11" x14ac:dyDescent="0.3">
      <c r="A11" t="s">
        <v>17</v>
      </c>
      <c r="B11" t="s">
        <v>26</v>
      </c>
      <c r="E11">
        <v>3</v>
      </c>
      <c r="F11">
        <v>1</v>
      </c>
      <c r="J11">
        <v>2</v>
      </c>
      <c r="K11">
        <v>1</v>
      </c>
    </row>
    <row r="12" spans="1:11" x14ac:dyDescent="0.3">
      <c r="A12" t="s">
        <v>17</v>
      </c>
      <c r="B12" t="s">
        <v>27</v>
      </c>
      <c r="E12">
        <v>3</v>
      </c>
      <c r="F12">
        <v>1</v>
      </c>
      <c r="J12">
        <v>2</v>
      </c>
      <c r="K12">
        <v>1</v>
      </c>
    </row>
    <row r="13" spans="1:11" x14ac:dyDescent="0.3">
      <c r="A13" t="s">
        <v>15</v>
      </c>
      <c r="B13" t="s">
        <v>28</v>
      </c>
      <c r="E13">
        <v>14</v>
      </c>
      <c r="F13">
        <v>3</v>
      </c>
    </row>
    <row r="14" spans="1:11" s="1" customFormat="1" x14ac:dyDescent="0.3">
      <c r="A14" s="1" t="s">
        <v>13</v>
      </c>
      <c r="B14" s="1" t="s">
        <v>34</v>
      </c>
      <c r="C14" s="1">
        <v>0</v>
      </c>
      <c r="D14" s="1">
        <v>2</v>
      </c>
      <c r="E14" s="1">
        <v>24</v>
      </c>
      <c r="F14" s="1">
        <v>4</v>
      </c>
      <c r="G14" s="1">
        <v>0</v>
      </c>
      <c r="H14" s="1">
        <v>1</v>
      </c>
      <c r="I14" s="1">
        <v>5</v>
      </c>
    </row>
    <row r="15" spans="1:11" x14ac:dyDescent="0.3">
      <c r="A15" t="s">
        <v>24</v>
      </c>
      <c r="B15" t="s">
        <v>35</v>
      </c>
      <c r="E15">
        <v>4</v>
      </c>
      <c r="F15">
        <v>1</v>
      </c>
      <c r="J15">
        <v>1</v>
      </c>
      <c r="K15">
        <v>3</v>
      </c>
    </row>
    <row r="16" spans="1:11" x14ac:dyDescent="0.3">
      <c r="A16" t="s">
        <v>15</v>
      </c>
      <c r="B16" t="s">
        <v>36</v>
      </c>
      <c r="E16">
        <v>25</v>
      </c>
      <c r="F16">
        <v>4</v>
      </c>
    </row>
    <row r="17" spans="1:11" x14ac:dyDescent="0.3">
      <c r="A17" t="s">
        <v>17</v>
      </c>
      <c r="B17" t="s">
        <v>37</v>
      </c>
      <c r="E17">
        <v>17</v>
      </c>
      <c r="F17">
        <v>3</v>
      </c>
      <c r="J17">
        <v>5</v>
      </c>
      <c r="K17">
        <v>5</v>
      </c>
    </row>
    <row r="18" spans="1:11" s="1" customFormat="1" x14ac:dyDescent="0.3">
      <c r="A18" s="1" t="s">
        <v>13</v>
      </c>
      <c r="B18" s="1" t="s">
        <v>47</v>
      </c>
      <c r="C18" s="1">
        <v>0</v>
      </c>
      <c r="D18" s="1">
        <v>1</v>
      </c>
      <c r="E18" s="1">
        <v>4</v>
      </c>
      <c r="F18" s="1">
        <v>1</v>
      </c>
      <c r="G18" s="1">
        <v>0</v>
      </c>
      <c r="H18" s="1">
        <v>1</v>
      </c>
      <c r="I18" s="1">
        <v>1</v>
      </c>
    </row>
    <row r="19" spans="1:11" x14ac:dyDescent="0.3">
      <c r="A19" t="s">
        <v>15</v>
      </c>
      <c r="B19" t="s">
        <v>48</v>
      </c>
      <c r="E19">
        <v>5</v>
      </c>
      <c r="F19">
        <v>1</v>
      </c>
    </row>
    <row r="20" spans="1:11" x14ac:dyDescent="0.3">
      <c r="A20" t="s">
        <v>17</v>
      </c>
      <c r="B20" t="s">
        <v>49</v>
      </c>
      <c r="E20">
        <v>3</v>
      </c>
      <c r="F20">
        <v>1</v>
      </c>
      <c r="J20">
        <v>5</v>
      </c>
      <c r="K20">
        <v>1</v>
      </c>
    </row>
    <row r="21" spans="1:11" x14ac:dyDescent="0.3">
      <c r="B21" t="s">
        <v>41</v>
      </c>
      <c r="C21">
        <f>AVERAGE(C18,C14,C9,C6,C3)</f>
        <v>0</v>
      </c>
      <c r="D21">
        <f t="shared" ref="D21:I21" si="0">AVERAGE(D18,D14,D9,D6,D3)</f>
        <v>1.6</v>
      </c>
      <c r="E21">
        <f t="shared" si="0"/>
        <v>10.8</v>
      </c>
      <c r="F21">
        <f t="shared" si="0"/>
        <v>2</v>
      </c>
      <c r="G21">
        <f t="shared" si="0"/>
        <v>6.6</v>
      </c>
      <c r="H21">
        <f t="shared" si="0"/>
        <v>1</v>
      </c>
      <c r="I21">
        <f t="shared" si="0"/>
        <v>2</v>
      </c>
      <c r="J21">
        <f>AVERAGE(J20,J17,J12,J11,J10,J8,J5)</f>
        <v>3.1428571428571428</v>
      </c>
      <c r="K21">
        <f>AVERAGE(K20,K17,K12,K11,K10,K8,K5)</f>
        <v>2.1428571428571428</v>
      </c>
    </row>
    <row r="22" spans="1:11" x14ac:dyDescent="0.3">
      <c r="B22" t="s">
        <v>42</v>
      </c>
      <c r="C22">
        <f>MEDIAN(C18,C14,C9,C6,C3)</f>
        <v>0</v>
      </c>
      <c r="D22">
        <f t="shared" ref="D22:I22" si="1">MEDIAN(D18,D14,D9,D6,D3)</f>
        <v>1</v>
      </c>
      <c r="E22">
        <f t="shared" si="1"/>
        <v>9</v>
      </c>
      <c r="F22">
        <f t="shared" si="1"/>
        <v>1</v>
      </c>
      <c r="G22">
        <f t="shared" si="1"/>
        <v>0</v>
      </c>
      <c r="H22">
        <f t="shared" si="1"/>
        <v>1</v>
      </c>
      <c r="I22">
        <f t="shared" si="1"/>
        <v>1</v>
      </c>
      <c r="J22">
        <f>MEDIAN(J20,J17,J15,J12,J11,J10,J8,J5)</f>
        <v>2.5</v>
      </c>
      <c r="K22">
        <f>MEDIAN(K20,K17,K15,K12,K11,K10,K8,K5)</f>
        <v>2</v>
      </c>
    </row>
    <row r="23" spans="1:11" x14ac:dyDescent="0.3">
      <c r="B23" t="s">
        <v>43</v>
      </c>
      <c r="C23">
        <v>0</v>
      </c>
      <c r="D23">
        <v>3</v>
      </c>
      <c r="E23">
        <v>24</v>
      </c>
      <c r="F23">
        <v>4</v>
      </c>
      <c r="G23">
        <v>33</v>
      </c>
      <c r="H23">
        <v>1</v>
      </c>
      <c r="I23">
        <v>5</v>
      </c>
      <c r="J23">
        <v>5</v>
      </c>
      <c r="K23">
        <v>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5DC9-963D-4C00-B8D2-B12EA0E55053}">
  <dimension ref="A1:H10"/>
  <sheetViews>
    <sheetView workbookViewId="0">
      <selection activeCell="G19" sqref="G19"/>
    </sheetView>
  </sheetViews>
  <sheetFormatPr defaultRowHeight="14.4" x14ac:dyDescent="0.3"/>
  <cols>
    <col min="1" max="1" width="26" customWidth="1"/>
    <col min="2" max="2" width="22.6640625" customWidth="1"/>
    <col min="3" max="3" width="14.6640625" customWidth="1"/>
    <col min="4" max="4" width="16.6640625" customWidth="1"/>
  </cols>
  <sheetData>
    <row r="1" spans="1:8" ht="51" thickBot="1" x14ac:dyDescent="0.35">
      <c r="A1" s="3" t="s">
        <v>50</v>
      </c>
      <c r="B1" s="3" t="s">
        <v>51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</row>
    <row r="2" spans="1:8" ht="17.399999999999999" thickBot="1" x14ac:dyDescent="0.35">
      <c r="A2" s="3" t="s">
        <v>52</v>
      </c>
      <c r="B2" s="4" t="s">
        <v>3</v>
      </c>
      <c r="C2" s="2">
        <v>6.6</v>
      </c>
      <c r="D2" s="2">
        <v>0</v>
      </c>
      <c r="E2" s="2">
        <v>33</v>
      </c>
      <c r="F2" s="2">
        <v>6.6</v>
      </c>
      <c r="G2" s="2">
        <v>0</v>
      </c>
      <c r="H2" s="2">
        <v>33</v>
      </c>
    </row>
    <row r="3" spans="1:8" ht="17.399999999999999" thickBot="1" x14ac:dyDescent="0.35">
      <c r="A3" s="3" t="s">
        <v>53</v>
      </c>
      <c r="B3" s="4" t="s">
        <v>8</v>
      </c>
      <c r="C3" s="4">
        <v>2.2000000000000002</v>
      </c>
      <c r="D3" s="5">
        <v>2</v>
      </c>
      <c r="E3" s="4">
        <v>4</v>
      </c>
      <c r="F3" s="4">
        <v>2</v>
      </c>
      <c r="G3" s="5">
        <v>1</v>
      </c>
      <c r="H3" s="4">
        <v>5</v>
      </c>
    </row>
    <row r="4" spans="1:8" ht="17.399999999999999" thickBot="1" x14ac:dyDescent="0.35">
      <c r="A4" s="3" t="s">
        <v>54</v>
      </c>
      <c r="B4" s="4" t="s">
        <v>7</v>
      </c>
      <c r="C4" s="4">
        <v>1.6</v>
      </c>
      <c r="D4" s="5">
        <v>1</v>
      </c>
      <c r="E4" s="4">
        <v>5</v>
      </c>
      <c r="F4" s="4">
        <v>1.6</v>
      </c>
      <c r="G4" s="5">
        <v>1</v>
      </c>
      <c r="H4" s="4">
        <v>3</v>
      </c>
    </row>
    <row r="5" spans="1:8" ht="17.399999999999999" thickBot="1" x14ac:dyDescent="0.35">
      <c r="A5" s="3" t="s">
        <v>55</v>
      </c>
      <c r="B5" s="4" t="s">
        <v>5</v>
      </c>
      <c r="C5" s="4">
        <v>2.2999999999999998</v>
      </c>
      <c r="D5" s="5">
        <v>3</v>
      </c>
      <c r="E5" s="4">
        <v>3</v>
      </c>
      <c r="F5" s="4">
        <v>3.1</v>
      </c>
      <c r="G5" s="5">
        <v>2.5</v>
      </c>
      <c r="H5" s="4">
        <v>5</v>
      </c>
    </row>
    <row r="6" spans="1:8" ht="17.399999999999999" thickBot="1" x14ac:dyDescent="0.35">
      <c r="A6" s="3" t="s">
        <v>56</v>
      </c>
      <c r="B6" s="4" t="s">
        <v>6</v>
      </c>
      <c r="C6" s="4">
        <v>1.8</v>
      </c>
      <c r="D6" s="5">
        <v>2</v>
      </c>
      <c r="E6" s="4">
        <v>3</v>
      </c>
      <c r="F6" s="4">
        <v>2.14</v>
      </c>
      <c r="G6" s="5">
        <v>2</v>
      </c>
      <c r="H6" s="4">
        <v>5</v>
      </c>
    </row>
    <row r="7" spans="1:8" ht="17.399999999999999" thickBot="1" x14ac:dyDescent="0.35">
      <c r="A7" s="3" t="s">
        <v>57</v>
      </c>
      <c r="B7" s="4" t="s">
        <v>2</v>
      </c>
      <c r="C7" s="4">
        <f>notification_good!C24</f>
        <v>1.6</v>
      </c>
      <c r="D7" s="5">
        <v>1</v>
      </c>
      <c r="E7" s="4">
        <v>3</v>
      </c>
      <c r="F7" s="4">
        <v>2</v>
      </c>
      <c r="G7" s="5">
        <v>1</v>
      </c>
      <c r="H7" s="4">
        <v>4</v>
      </c>
    </row>
    <row r="8" spans="1:8" ht="17.399999999999999" thickBot="1" x14ac:dyDescent="0.35">
      <c r="A8" s="3" t="s">
        <v>58</v>
      </c>
      <c r="B8" s="4" t="s">
        <v>4</v>
      </c>
      <c r="C8" s="4">
        <v>1</v>
      </c>
      <c r="D8" s="5">
        <v>1</v>
      </c>
      <c r="E8" s="4">
        <v>1</v>
      </c>
      <c r="F8" s="4">
        <v>1</v>
      </c>
      <c r="G8" s="5">
        <v>1</v>
      </c>
      <c r="H8" s="4">
        <v>1</v>
      </c>
    </row>
    <row r="9" spans="1:8" ht="17.399999999999999" thickBot="1" x14ac:dyDescent="0.35">
      <c r="A9" s="3" t="s">
        <v>59</v>
      </c>
      <c r="B9" s="4" t="s">
        <v>9</v>
      </c>
      <c r="C9" s="4">
        <v>0</v>
      </c>
      <c r="D9" s="5">
        <v>0</v>
      </c>
      <c r="E9" s="4">
        <v>0</v>
      </c>
      <c r="F9" s="4">
        <v>0</v>
      </c>
      <c r="G9" s="5">
        <v>0</v>
      </c>
      <c r="H9" s="4">
        <v>0</v>
      </c>
    </row>
    <row r="10" spans="1:8" ht="17.399999999999999" thickBot="1" x14ac:dyDescent="0.35">
      <c r="A10" s="3" t="s">
        <v>60</v>
      </c>
      <c r="B10" s="4" t="s">
        <v>10</v>
      </c>
      <c r="C10" s="4">
        <v>10.199999999999999</v>
      </c>
      <c r="D10" s="5">
        <v>10</v>
      </c>
      <c r="E10" s="4">
        <v>13</v>
      </c>
      <c r="F10" s="4">
        <v>10.8</v>
      </c>
      <c r="G10" s="5">
        <v>9</v>
      </c>
      <c r="H10" s="4">
        <v>24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4549-B756-4118-A50C-0BBD261B667A}">
  <dimension ref="A1:K24"/>
  <sheetViews>
    <sheetView topLeftCell="A15" workbookViewId="0">
      <selection activeCell="I24" sqref="I24"/>
    </sheetView>
  </sheetViews>
  <sheetFormatPr defaultRowHeight="14.4" x14ac:dyDescent="0.3"/>
  <cols>
    <col min="1" max="1" width="23" customWidth="1"/>
    <col min="2" max="2" width="20.6640625" customWidth="1"/>
    <col min="3" max="3" width="28.44140625" customWidth="1"/>
    <col min="4" max="4" width="17.6640625" customWidth="1"/>
    <col min="5" max="6" width="14.5546875" customWidth="1"/>
    <col min="7" max="7" width="17" customWidth="1"/>
    <col min="8" max="8" width="15.44140625" customWidth="1"/>
    <col min="9" max="9" width="15.6640625" customWidth="1"/>
  </cols>
  <sheetData>
    <row r="1" spans="1:11" x14ac:dyDescent="0.3">
      <c r="A1" t="s">
        <v>0</v>
      </c>
      <c r="B1" t="s">
        <v>1</v>
      </c>
      <c r="C1" t="s">
        <v>8</v>
      </c>
      <c r="D1" t="s">
        <v>9</v>
      </c>
      <c r="E1" t="s">
        <v>7</v>
      </c>
      <c r="F1" t="s">
        <v>2</v>
      </c>
      <c r="G1" t="s">
        <v>3</v>
      </c>
      <c r="H1" t="s">
        <v>4</v>
      </c>
      <c r="I1" t="s">
        <v>10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F2">
        <v>13</v>
      </c>
      <c r="I2">
        <v>64</v>
      </c>
    </row>
    <row r="3" spans="1:11" s="1" customFormat="1" x14ac:dyDescent="0.3">
      <c r="A3" s="1" t="s">
        <v>13</v>
      </c>
      <c r="B3" s="1" t="s">
        <v>114</v>
      </c>
      <c r="C3" s="1">
        <v>1</v>
      </c>
      <c r="D3" s="1">
        <v>0</v>
      </c>
      <c r="E3" s="1">
        <v>1</v>
      </c>
      <c r="F3" s="1">
        <v>2</v>
      </c>
      <c r="G3" s="1">
        <v>0</v>
      </c>
      <c r="H3" s="1">
        <v>1</v>
      </c>
      <c r="I3" s="1">
        <v>9</v>
      </c>
    </row>
    <row r="4" spans="1:11" x14ac:dyDescent="0.3">
      <c r="A4" t="s">
        <v>17</v>
      </c>
      <c r="B4" t="s">
        <v>115</v>
      </c>
      <c r="F4">
        <v>2</v>
      </c>
      <c r="I4">
        <v>8</v>
      </c>
      <c r="J4">
        <v>2</v>
      </c>
      <c r="K4">
        <v>4</v>
      </c>
    </row>
    <row r="5" spans="1:11" x14ac:dyDescent="0.3">
      <c r="A5" t="s">
        <v>15</v>
      </c>
      <c r="B5" t="s">
        <v>116</v>
      </c>
      <c r="F5">
        <v>2</v>
      </c>
      <c r="I5">
        <v>10</v>
      </c>
    </row>
    <row r="6" spans="1:11" s="1" customFormat="1" x14ac:dyDescent="0.3">
      <c r="A6" s="1" t="s">
        <v>13</v>
      </c>
      <c r="B6" s="1" t="s">
        <v>19</v>
      </c>
      <c r="C6" s="1">
        <v>2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7</v>
      </c>
    </row>
    <row r="7" spans="1:11" x14ac:dyDescent="0.3">
      <c r="A7" t="s">
        <v>15</v>
      </c>
      <c r="B7" t="s">
        <v>20</v>
      </c>
      <c r="F7">
        <v>1</v>
      </c>
      <c r="I7">
        <v>8</v>
      </c>
    </row>
    <row r="8" spans="1:11" x14ac:dyDescent="0.3">
      <c r="A8" t="s">
        <v>21</v>
      </c>
      <c r="B8" t="s">
        <v>22</v>
      </c>
      <c r="F8">
        <v>1</v>
      </c>
      <c r="I8">
        <v>6</v>
      </c>
      <c r="J8">
        <v>2</v>
      </c>
      <c r="K8">
        <v>4</v>
      </c>
    </row>
    <row r="9" spans="1:11" s="1" customFormat="1" x14ac:dyDescent="0.3">
      <c r="A9" s="1" t="s">
        <v>13</v>
      </c>
      <c r="B9" s="1" t="s">
        <v>73</v>
      </c>
      <c r="C9" s="1">
        <v>0</v>
      </c>
      <c r="D9" s="1">
        <v>0</v>
      </c>
      <c r="E9" s="1">
        <v>4</v>
      </c>
      <c r="F9" s="1">
        <v>4</v>
      </c>
      <c r="G9" s="1">
        <v>50</v>
      </c>
      <c r="H9" s="1">
        <v>1</v>
      </c>
      <c r="I9" s="1">
        <v>18</v>
      </c>
    </row>
    <row r="10" spans="1:11" x14ac:dyDescent="0.3">
      <c r="A10" t="s">
        <v>24</v>
      </c>
      <c r="B10" t="s">
        <v>74</v>
      </c>
      <c r="F10">
        <v>1</v>
      </c>
      <c r="I10">
        <v>5</v>
      </c>
      <c r="J10">
        <v>4</v>
      </c>
      <c r="K10">
        <v>4</v>
      </c>
    </row>
    <row r="11" spans="1:11" x14ac:dyDescent="0.3">
      <c r="A11" t="s">
        <v>17</v>
      </c>
      <c r="B11" t="s">
        <v>117</v>
      </c>
      <c r="F11">
        <v>1</v>
      </c>
      <c r="I11">
        <v>3</v>
      </c>
      <c r="J11">
        <v>3</v>
      </c>
      <c r="K11">
        <v>1</v>
      </c>
    </row>
    <row r="12" spans="1:11" x14ac:dyDescent="0.3">
      <c r="A12" t="s">
        <v>17</v>
      </c>
      <c r="B12" t="s">
        <v>118</v>
      </c>
      <c r="F12">
        <v>1</v>
      </c>
      <c r="I12">
        <v>3</v>
      </c>
      <c r="J12">
        <v>3</v>
      </c>
      <c r="K12">
        <v>1</v>
      </c>
    </row>
    <row r="13" spans="1:11" x14ac:dyDescent="0.3">
      <c r="A13" t="s">
        <v>17</v>
      </c>
      <c r="B13" t="s">
        <v>119</v>
      </c>
      <c r="F13">
        <v>1</v>
      </c>
      <c r="I13">
        <v>3</v>
      </c>
      <c r="J13">
        <v>3</v>
      </c>
      <c r="K13">
        <v>1</v>
      </c>
    </row>
    <row r="14" spans="1:11" x14ac:dyDescent="0.3">
      <c r="A14" t="s">
        <v>15</v>
      </c>
      <c r="B14" t="s">
        <v>78</v>
      </c>
      <c r="F14">
        <v>4</v>
      </c>
      <c r="I14">
        <v>19</v>
      </c>
    </row>
    <row r="15" spans="1:11" s="1" customFormat="1" x14ac:dyDescent="0.3">
      <c r="A15" s="1" t="s">
        <v>13</v>
      </c>
      <c r="B15" s="1" t="s">
        <v>123</v>
      </c>
      <c r="C15" s="1">
        <v>5</v>
      </c>
      <c r="D15" s="1">
        <v>0</v>
      </c>
      <c r="E15" s="1">
        <v>2</v>
      </c>
      <c r="F15" s="1">
        <v>4</v>
      </c>
      <c r="G15" s="1">
        <v>0</v>
      </c>
      <c r="H15" s="1">
        <v>1</v>
      </c>
      <c r="I15" s="1">
        <v>16</v>
      </c>
    </row>
    <row r="16" spans="1:11" x14ac:dyDescent="0.3">
      <c r="A16" t="s">
        <v>24</v>
      </c>
      <c r="B16" t="s">
        <v>124</v>
      </c>
      <c r="F16">
        <v>1</v>
      </c>
      <c r="I16">
        <v>4</v>
      </c>
      <c r="J16">
        <v>1</v>
      </c>
      <c r="K16">
        <v>3</v>
      </c>
    </row>
    <row r="17" spans="1:11" x14ac:dyDescent="0.3">
      <c r="A17" t="s">
        <v>17</v>
      </c>
      <c r="B17" t="s">
        <v>125</v>
      </c>
      <c r="F17">
        <v>3</v>
      </c>
      <c r="I17">
        <v>9</v>
      </c>
      <c r="J17">
        <v>5</v>
      </c>
      <c r="K17">
        <v>4</v>
      </c>
    </row>
    <row r="18" spans="1:11" x14ac:dyDescent="0.3">
      <c r="A18" t="s">
        <v>15</v>
      </c>
      <c r="B18" t="s">
        <v>126</v>
      </c>
      <c r="F18">
        <v>4</v>
      </c>
      <c r="I18">
        <v>17</v>
      </c>
    </row>
    <row r="19" spans="1:11" s="1" customFormat="1" x14ac:dyDescent="0.3">
      <c r="A19" s="1" t="s">
        <v>13</v>
      </c>
      <c r="B19" s="1" t="s">
        <v>127</v>
      </c>
      <c r="C19" s="1">
        <v>1</v>
      </c>
      <c r="D19" s="1">
        <v>0</v>
      </c>
      <c r="E19" s="1">
        <v>1</v>
      </c>
      <c r="F19" s="1">
        <v>2</v>
      </c>
      <c r="G19" s="1">
        <v>0</v>
      </c>
      <c r="H19" s="1">
        <v>1</v>
      </c>
      <c r="I19" s="1">
        <v>9</v>
      </c>
    </row>
    <row r="20" spans="1:11" x14ac:dyDescent="0.3">
      <c r="A20" t="s">
        <v>17</v>
      </c>
      <c r="B20" t="s">
        <v>128</v>
      </c>
      <c r="F20">
        <v>2</v>
      </c>
      <c r="I20">
        <v>8</v>
      </c>
      <c r="J20">
        <v>2</v>
      </c>
      <c r="K20">
        <v>4</v>
      </c>
    </row>
    <row r="21" spans="1:11" x14ac:dyDescent="0.3">
      <c r="A21" t="s">
        <v>15</v>
      </c>
      <c r="B21" t="s">
        <v>129</v>
      </c>
      <c r="F21">
        <v>2</v>
      </c>
      <c r="I21">
        <v>10</v>
      </c>
    </row>
    <row r="22" spans="1:11" x14ac:dyDescent="0.3">
      <c r="B22" s="2" t="s">
        <v>41</v>
      </c>
      <c r="C22">
        <f>AVERAGE(C19,C15,C9,C6,C3)</f>
        <v>1.8</v>
      </c>
      <c r="D22">
        <f t="shared" ref="D22:I22" si="0">AVERAGE(D19,D15,D9,D6,D3)</f>
        <v>0</v>
      </c>
      <c r="E22">
        <f t="shared" si="0"/>
        <v>1.8</v>
      </c>
      <c r="F22">
        <f t="shared" si="0"/>
        <v>2.6</v>
      </c>
      <c r="G22">
        <f t="shared" si="0"/>
        <v>10</v>
      </c>
      <c r="H22">
        <f t="shared" si="0"/>
        <v>1</v>
      </c>
      <c r="I22">
        <f t="shared" si="0"/>
        <v>11.8</v>
      </c>
      <c r="J22">
        <f>AVERAGE(J20,J17,J16,J13,J12,J10,J11,J8,J4)</f>
        <v>2.7777777777777777</v>
      </c>
      <c r="K22">
        <f>AVERAGE(K20,K17,K16,K13,K12,K10,K11,K8,K4)</f>
        <v>2.8888888888888888</v>
      </c>
    </row>
    <row r="23" spans="1:11" x14ac:dyDescent="0.3">
      <c r="B23" s="2" t="s">
        <v>42</v>
      </c>
      <c r="C23">
        <f>MEDIAN(C19,C15,C9,C6,C3)</f>
        <v>1</v>
      </c>
      <c r="D23">
        <f t="shared" ref="D23:I23" si="1">MEDIAN(D19,D15,D9,D6,D3)</f>
        <v>0</v>
      </c>
      <c r="E23">
        <f t="shared" si="1"/>
        <v>1</v>
      </c>
      <c r="F23">
        <f t="shared" si="1"/>
        <v>2</v>
      </c>
      <c r="G23">
        <f t="shared" si="1"/>
        <v>0</v>
      </c>
      <c r="H23">
        <f t="shared" si="1"/>
        <v>1</v>
      </c>
      <c r="I23">
        <f t="shared" si="1"/>
        <v>9</v>
      </c>
      <c r="J23">
        <f>MEDIAN(J20,J17,J16,J13,J12,J11,J10,J8,J4)</f>
        <v>3</v>
      </c>
      <c r="K23">
        <f>MEDIAN(K20,K17,K16,K13,K12,K11,K10,K8,K4)</f>
        <v>4</v>
      </c>
    </row>
    <row r="24" spans="1:11" x14ac:dyDescent="0.3">
      <c r="B24" s="2" t="s">
        <v>43</v>
      </c>
      <c r="C24">
        <v>5</v>
      </c>
      <c r="D24">
        <v>0</v>
      </c>
      <c r="E24">
        <v>4</v>
      </c>
      <c r="F24">
        <v>4</v>
      </c>
      <c r="G24">
        <v>50</v>
      </c>
      <c r="H24">
        <v>1</v>
      </c>
      <c r="I24">
        <v>18</v>
      </c>
      <c r="J24">
        <v>5</v>
      </c>
      <c r="K24">
        <v>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93DA-63A7-472F-9F24-59D051361ECC}">
  <dimension ref="A1:K27"/>
  <sheetViews>
    <sheetView topLeftCell="A15" workbookViewId="0">
      <selection activeCell="B25" sqref="B25:B27"/>
    </sheetView>
  </sheetViews>
  <sheetFormatPr defaultRowHeight="14.4" x14ac:dyDescent="0.3"/>
  <cols>
    <col min="1" max="1" width="28.88671875" customWidth="1"/>
    <col min="2" max="2" width="27.109375" customWidth="1"/>
    <col min="7" max="7" width="18.77734375" customWidth="1"/>
    <col min="8" max="8" width="13.33203125" customWidth="1"/>
    <col min="9" max="9" width="15.5546875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10</v>
      </c>
      <c r="G1" t="s">
        <v>7</v>
      </c>
      <c r="H1" t="s">
        <v>9</v>
      </c>
      <c r="I1" t="s">
        <v>8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D2">
        <v>11</v>
      </c>
      <c r="F2">
        <v>62</v>
      </c>
    </row>
    <row r="3" spans="1:11" s="1" customFormat="1" x14ac:dyDescent="0.3">
      <c r="A3" s="1" t="s">
        <v>13</v>
      </c>
      <c r="B3" s="1" t="s">
        <v>114</v>
      </c>
      <c r="C3" s="1">
        <v>0</v>
      </c>
      <c r="D3" s="1">
        <v>2</v>
      </c>
      <c r="E3" s="1">
        <v>1</v>
      </c>
      <c r="F3" s="1">
        <v>10</v>
      </c>
      <c r="G3" s="1">
        <v>1</v>
      </c>
      <c r="H3" s="1">
        <v>0</v>
      </c>
      <c r="I3" s="1">
        <v>2</v>
      </c>
    </row>
    <row r="4" spans="1:11" x14ac:dyDescent="0.3">
      <c r="A4" t="s">
        <v>17</v>
      </c>
      <c r="B4" t="s">
        <v>115</v>
      </c>
      <c r="D4">
        <v>2</v>
      </c>
      <c r="F4">
        <v>9</v>
      </c>
      <c r="J4">
        <v>1</v>
      </c>
      <c r="K4">
        <v>4</v>
      </c>
    </row>
    <row r="5" spans="1:11" x14ac:dyDescent="0.3">
      <c r="A5" t="s">
        <v>15</v>
      </c>
      <c r="B5" t="s">
        <v>116</v>
      </c>
      <c r="D5">
        <v>2</v>
      </c>
      <c r="F5">
        <v>11</v>
      </c>
    </row>
    <row r="6" spans="1:11" s="1" customFormat="1" x14ac:dyDescent="0.3">
      <c r="A6" s="1" t="s">
        <v>13</v>
      </c>
      <c r="B6" s="1" t="s">
        <v>19</v>
      </c>
      <c r="C6" s="1">
        <v>0</v>
      </c>
      <c r="D6" s="1">
        <v>1</v>
      </c>
      <c r="E6" s="1">
        <v>1</v>
      </c>
      <c r="F6" s="1">
        <v>8</v>
      </c>
      <c r="G6" s="1">
        <v>1</v>
      </c>
      <c r="H6" s="1">
        <v>0</v>
      </c>
      <c r="I6" s="1">
        <v>4</v>
      </c>
    </row>
    <row r="7" spans="1:11" x14ac:dyDescent="0.3">
      <c r="A7" t="s">
        <v>15</v>
      </c>
      <c r="B7" t="s">
        <v>20</v>
      </c>
      <c r="D7">
        <v>1</v>
      </c>
      <c r="F7">
        <v>9</v>
      </c>
    </row>
    <row r="8" spans="1:11" x14ac:dyDescent="0.3">
      <c r="A8" t="s">
        <v>21</v>
      </c>
      <c r="B8" t="s">
        <v>22</v>
      </c>
      <c r="D8">
        <v>1</v>
      </c>
      <c r="F8">
        <v>7</v>
      </c>
      <c r="J8">
        <v>2</v>
      </c>
      <c r="K8">
        <v>4</v>
      </c>
    </row>
    <row r="9" spans="1:11" s="1" customFormat="1" x14ac:dyDescent="0.3">
      <c r="A9" s="1" t="s">
        <v>13</v>
      </c>
      <c r="B9" s="1" t="s">
        <v>73</v>
      </c>
      <c r="C9" s="1">
        <v>50</v>
      </c>
      <c r="D9" s="1">
        <v>4</v>
      </c>
      <c r="E9" s="1">
        <v>1</v>
      </c>
      <c r="F9" s="1">
        <v>18</v>
      </c>
      <c r="G9" s="1">
        <v>4</v>
      </c>
      <c r="H9" s="1">
        <v>0</v>
      </c>
      <c r="I9" s="1">
        <v>0</v>
      </c>
    </row>
    <row r="10" spans="1:11" x14ac:dyDescent="0.3">
      <c r="A10" t="s">
        <v>24</v>
      </c>
      <c r="B10" t="s">
        <v>74</v>
      </c>
      <c r="D10">
        <v>1</v>
      </c>
      <c r="F10">
        <v>5</v>
      </c>
      <c r="J10">
        <v>4</v>
      </c>
      <c r="K10">
        <v>4</v>
      </c>
    </row>
    <row r="11" spans="1:11" x14ac:dyDescent="0.3">
      <c r="A11" t="s">
        <v>17</v>
      </c>
      <c r="B11" t="s">
        <v>117</v>
      </c>
      <c r="D11">
        <v>1</v>
      </c>
      <c r="F11">
        <v>3</v>
      </c>
      <c r="J11">
        <v>3</v>
      </c>
      <c r="K11">
        <v>1</v>
      </c>
    </row>
    <row r="12" spans="1:11" x14ac:dyDescent="0.3">
      <c r="A12" t="s">
        <v>17</v>
      </c>
      <c r="B12" t="s">
        <v>118</v>
      </c>
      <c r="D12">
        <v>1</v>
      </c>
      <c r="F12">
        <v>3</v>
      </c>
      <c r="J12">
        <v>3</v>
      </c>
      <c r="K12">
        <v>1</v>
      </c>
    </row>
    <row r="13" spans="1:11" x14ac:dyDescent="0.3">
      <c r="A13" t="s">
        <v>17</v>
      </c>
      <c r="B13" t="s">
        <v>119</v>
      </c>
      <c r="D13">
        <v>1</v>
      </c>
      <c r="F13">
        <v>3</v>
      </c>
      <c r="J13">
        <v>3</v>
      </c>
      <c r="K13">
        <v>1</v>
      </c>
    </row>
    <row r="14" spans="1:11" x14ac:dyDescent="0.3">
      <c r="A14" t="s">
        <v>15</v>
      </c>
      <c r="B14" t="s">
        <v>78</v>
      </c>
      <c r="D14">
        <v>4</v>
      </c>
      <c r="F14">
        <v>19</v>
      </c>
    </row>
    <row r="15" spans="1:11" x14ac:dyDescent="0.3">
      <c r="A15" t="s">
        <v>29</v>
      </c>
      <c r="B15" t="s">
        <v>120</v>
      </c>
      <c r="C15">
        <v>0</v>
      </c>
      <c r="D15">
        <v>0</v>
      </c>
      <c r="E15">
        <v>0</v>
      </c>
      <c r="F15">
        <v>2</v>
      </c>
      <c r="G15">
        <v>1</v>
      </c>
      <c r="H15">
        <v>2</v>
      </c>
      <c r="I15">
        <v>1</v>
      </c>
    </row>
    <row r="16" spans="1:11" x14ac:dyDescent="0.3">
      <c r="A16" t="s">
        <v>32</v>
      </c>
      <c r="B16" t="s">
        <v>121</v>
      </c>
      <c r="D16">
        <v>0</v>
      </c>
      <c r="F16">
        <v>1</v>
      </c>
      <c r="J16">
        <v>1</v>
      </c>
      <c r="K16">
        <v>1</v>
      </c>
    </row>
    <row r="17" spans="1:11" x14ac:dyDescent="0.3">
      <c r="A17" t="s">
        <v>15</v>
      </c>
      <c r="B17" t="s">
        <v>122</v>
      </c>
      <c r="D17">
        <v>0</v>
      </c>
      <c r="F17">
        <v>3</v>
      </c>
    </row>
    <row r="18" spans="1:11" s="1" customFormat="1" x14ac:dyDescent="0.3">
      <c r="A18" s="1" t="s">
        <v>13</v>
      </c>
      <c r="B18" s="1" t="s">
        <v>123</v>
      </c>
      <c r="C18" s="1">
        <v>0</v>
      </c>
      <c r="D18" s="1">
        <v>2</v>
      </c>
      <c r="E18" s="1">
        <v>1</v>
      </c>
      <c r="F18" s="1">
        <v>8</v>
      </c>
      <c r="G18" s="1">
        <v>2</v>
      </c>
      <c r="H18" s="1">
        <v>0</v>
      </c>
      <c r="I18" s="1">
        <v>2</v>
      </c>
    </row>
    <row r="19" spans="1:11" x14ac:dyDescent="0.3">
      <c r="A19" t="s">
        <v>24</v>
      </c>
      <c r="B19" t="s">
        <v>124</v>
      </c>
      <c r="D19">
        <v>1</v>
      </c>
      <c r="F19">
        <v>3</v>
      </c>
      <c r="J19">
        <v>2</v>
      </c>
      <c r="K19">
        <v>2</v>
      </c>
    </row>
    <row r="20" spans="1:11" x14ac:dyDescent="0.3">
      <c r="A20" t="s">
        <v>17</v>
      </c>
      <c r="B20" t="s">
        <v>125</v>
      </c>
      <c r="D20">
        <v>1</v>
      </c>
      <c r="F20">
        <v>3</v>
      </c>
      <c r="J20">
        <v>3</v>
      </c>
      <c r="K20">
        <v>2</v>
      </c>
    </row>
    <row r="21" spans="1:11" x14ac:dyDescent="0.3">
      <c r="A21" t="s">
        <v>15</v>
      </c>
      <c r="B21" t="s">
        <v>126</v>
      </c>
      <c r="D21">
        <v>2</v>
      </c>
      <c r="F21">
        <v>9</v>
      </c>
    </row>
    <row r="22" spans="1:11" s="1" customFormat="1" x14ac:dyDescent="0.3">
      <c r="A22" s="1" t="s">
        <v>13</v>
      </c>
      <c r="B22" s="1" t="s">
        <v>127</v>
      </c>
      <c r="C22" s="1">
        <v>0</v>
      </c>
      <c r="D22" s="1">
        <v>2</v>
      </c>
      <c r="E22" s="1">
        <v>1</v>
      </c>
      <c r="F22" s="1">
        <v>10</v>
      </c>
      <c r="G22" s="1">
        <v>1</v>
      </c>
      <c r="H22" s="1">
        <v>0</v>
      </c>
      <c r="I22" s="1">
        <v>2</v>
      </c>
    </row>
    <row r="23" spans="1:11" x14ac:dyDescent="0.3">
      <c r="A23" t="s">
        <v>17</v>
      </c>
      <c r="B23" t="s">
        <v>128</v>
      </c>
      <c r="D23">
        <v>2</v>
      </c>
      <c r="F23">
        <v>9</v>
      </c>
      <c r="J23">
        <v>1</v>
      </c>
      <c r="K23">
        <v>4</v>
      </c>
    </row>
    <row r="24" spans="1:11" x14ac:dyDescent="0.3">
      <c r="A24" t="s">
        <v>15</v>
      </c>
      <c r="B24" t="s">
        <v>129</v>
      </c>
      <c r="D24">
        <v>2</v>
      </c>
      <c r="F24">
        <v>11</v>
      </c>
    </row>
    <row r="25" spans="1:11" x14ac:dyDescent="0.3">
      <c r="B25" s="2" t="s">
        <v>41</v>
      </c>
      <c r="C25">
        <f>AVERAGE(C22,C18,C9,C6,C3)</f>
        <v>10</v>
      </c>
      <c r="D25">
        <f t="shared" ref="D25:I25" si="0">AVERAGE(D22,D18,D9,D6,D3)</f>
        <v>2.2000000000000002</v>
      </c>
      <c r="E25">
        <f t="shared" si="0"/>
        <v>1</v>
      </c>
      <c r="F25">
        <f t="shared" si="0"/>
        <v>10.8</v>
      </c>
      <c r="G25">
        <f t="shared" si="0"/>
        <v>1.8</v>
      </c>
      <c r="H25">
        <f t="shared" si="0"/>
        <v>0</v>
      </c>
      <c r="I25">
        <f t="shared" si="0"/>
        <v>2</v>
      </c>
      <c r="J25">
        <f>AVERAGE(J23,J20,J19,J16,J13,J12,J11,J10,J8,J4)</f>
        <v>2.2999999999999998</v>
      </c>
      <c r="K25">
        <f>AVERAGE(K23,K20,K19,K16,K13,K12,K11,K10,K8,K4)</f>
        <v>2.4</v>
      </c>
    </row>
    <row r="26" spans="1:11" x14ac:dyDescent="0.3">
      <c r="B26" s="2" t="s">
        <v>42</v>
      </c>
      <c r="C26">
        <f>MEDIAN(C22,C18,C9,C6,C3)</f>
        <v>0</v>
      </c>
      <c r="D26">
        <f t="shared" ref="D26:I26" si="1">MEDIAN(D22,D18,D9,D6,D3)</f>
        <v>2</v>
      </c>
      <c r="E26">
        <f t="shared" si="1"/>
        <v>1</v>
      </c>
      <c r="F26">
        <f t="shared" si="1"/>
        <v>10</v>
      </c>
      <c r="G26">
        <f t="shared" si="1"/>
        <v>1</v>
      </c>
      <c r="H26">
        <f t="shared" si="1"/>
        <v>0</v>
      </c>
      <c r="I26">
        <f t="shared" si="1"/>
        <v>2</v>
      </c>
      <c r="J26">
        <f>MEDIAN(J23,J20,J19,J16,J13,J12,J10,J11,J8,J4)</f>
        <v>2.5</v>
      </c>
      <c r="K26">
        <f>MEDIAN(K23,K20,K19,K16,K13,K12,K10,K11,K8,K4)</f>
        <v>2</v>
      </c>
    </row>
    <row r="27" spans="1:11" x14ac:dyDescent="0.3">
      <c r="B27" s="2" t="s">
        <v>43</v>
      </c>
      <c r="C27">
        <v>50</v>
      </c>
      <c r="D27">
        <v>4</v>
      </c>
      <c r="E27">
        <v>1</v>
      </c>
      <c r="F27">
        <v>18</v>
      </c>
      <c r="G27">
        <v>4</v>
      </c>
      <c r="H27">
        <v>0</v>
      </c>
      <c r="I27">
        <v>4</v>
      </c>
      <c r="J27">
        <v>4</v>
      </c>
      <c r="K27">
        <v>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4BEB-798D-4A80-A728-23AC59CC2142}">
  <dimension ref="A1:H10"/>
  <sheetViews>
    <sheetView workbookViewId="0">
      <selection activeCell="H19" sqref="H19"/>
    </sheetView>
  </sheetViews>
  <sheetFormatPr defaultRowHeight="14.4" x14ac:dyDescent="0.3"/>
  <cols>
    <col min="1" max="1" width="26" customWidth="1"/>
    <col min="2" max="2" width="22.6640625" customWidth="1"/>
    <col min="3" max="3" width="14.6640625" customWidth="1"/>
    <col min="4" max="4" width="16.6640625" customWidth="1"/>
  </cols>
  <sheetData>
    <row r="1" spans="1:8" ht="51" thickBot="1" x14ac:dyDescent="0.35">
      <c r="A1" s="3" t="s">
        <v>50</v>
      </c>
      <c r="B1" s="3" t="s">
        <v>51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</row>
    <row r="2" spans="1:8" ht="17.399999999999999" thickBot="1" x14ac:dyDescent="0.35">
      <c r="A2" s="3" t="s">
        <v>52</v>
      </c>
      <c r="B2" s="4" t="s">
        <v>3</v>
      </c>
      <c r="C2" s="2">
        <v>10</v>
      </c>
      <c r="D2" s="2">
        <v>0</v>
      </c>
      <c r="E2" s="2">
        <v>50</v>
      </c>
      <c r="F2" s="2">
        <v>10</v>
      </c>
      <c r="G2" s="2">
        <v>0</v>
      </c>
      <c r="H2" s="2">
        <v>50</v>
      </c>
    </row>
    <row r="3" spans="1:8" ht="17.399999999999999" thickBot="1" x14ac:dyDescent="0.35">
      <c r="A3" s="3" t="s">
        <v>53</v>
      </c>
      <c r="B3" s="4" t="s">
        <v>8</v>
      </c>
      <c r="C3" s="4">
        <v>2</v>
      </c>
      <c r="D3" s="5">
        <v>2</v>
      </c>
      <c r="E3" s="4">
        <v>4</v>
      </c>
      <c r="F3" s="4">
        <v>1.8</v>
      </c>
      <c r="G3" s="5">
        <v>1</v>
      </c>
      <c r="H3" s="4">
        <v>5</v>
      </c>
    </row>
    <row r="4" spans="1:8" ht="17.399999999999999" thickBot="1" x14ac:dyDescent="0.35">
      <c r="A4" s="3" t="s">
        <v>54</v>
      </c>
      <c r="B4" s="4" t="s">
        <v>7</v>
      </c>
      <c r="C4" s="4">
        <v>1.8</v>
      </c>
      <c r="D4" s="5">
        <v>1</v>
      </c>
      <c r="E4" s="4">
        <v>4</v>
      </c>
      <c r="F4" s="4">
        <v>1.8</v>
      </c>
      <c r="G4" s="5">
        <v>1</v>
      </c>
      <c r="H4" s="4">
        <v>4</v>
      </c>
    </row>
    <row r="5" spans="1:8" ht="17.399999999999999" thickBot="1" x14ac:dyDescent="0.35">
      <c r="A5" s="3" t="s">
        <v>55</v>
      </c>
      <c r="B5" s="4" t="s">
        <v>5</v>
      </c>
      <c r="C5" s="4">
        <v>2.2999999999999998</v>
      </c>
      <c r="D5" s="5">
        <v>2.5</v>
      </c>
      <c r="E5" s="4">
        <v>4</v>
      </c>
      <c r="F5" s="4">
        <v>2.7</v>
      </c>
      <c r="G5" s="5">
        <v>3</v>
      </c>
      <c r="H5" s="4">
        <v>5</v>
      </c>
    </row>
    <row r="6" spans="1:8" ht="17.399999999999999" thickBot="1" x14ac:dyDescent="0.35">
      <c r="A6" s="3" t="s">
        <v>56</v>
      </c>
      <c r="B6" s="4" t="s">
        <v>6</v>
      </c>
      <c r="C6" s="4">
        <v>2.5</v>
      </c>
      <c r="D6" s="5">
        <v>2</v>
      </c>
      <c r="E6" s="4">
        <v>4</v>
      </c>
      <c r="F6" s="4">
        <v>2.9</v>
      </c>
      <c r="G6" s="5">
        <v>4</v>
      </c>
      <c r="H6" s="4">
        <v>4</v>
      </c>
    </row>
    <row r="7" spans="1:8" ht="17.399999999999999" thickBot="1" x14ac:dyDescent="0.35">
      <c r="A7" s="3" t="s">
        <v>57</v>
      </c>
      <c r="B7" s="4" t="s">
        <v>2</v>
      </c>
      <c r="C7" s="4">
        <v>2.2000000000000002</v>
      </c>
      <c r="D7" s="5">
        <v>2</v>
      </c>
      <c r="E7" s="4">
        <v>4</v>
      </c>
      <c r="F7" s="4">
        <v>2.6</v>
      </c>
      <c r="G7" s="5">
        <v>2</v>
      </c>
      <c r="H7" s="4">
        <v>4</v>
      </c>
    </row>
    <row r="8" spans="1:8" ht="17.399999999999999" thickBot="1" x14ac:dyDescent="0.35">
      <c r="A8" s="3" t="s">
        <v>58</v>
      </c>
      <c r="B8" s="4" t="s">
        <v>4</v>
      </c>
      <c r="C8" s="4">
        <v>1</v>
      </c>
      <c r="D8" s="5">
        <v>1</v>
      </c>
      <c r="E8" s="4">
        <v>1</v>
      </c>
      <c r="F8" s="4">
        <v>1</v>
      </c>
      <c r="G8" s="5">
        <v>1</v>
      </c>
      <c r="H8" s="4">
        <v>1</v>
      </c>
    </row>
    <row r="9" spans="1:8" ht="17.399999999999999" thickBot="1" x14ac:dyDescent="0.35">
      <c r="A9" s="3" t="s">
        <v>59</v>
      </c>
      <c r="B9" s="4" t="s">
        <v>9</v>
      </c>
      <c r="C9" s="4">
        <v>0</v>
      </c>
      <c r="D9" s="5">
        <v>0</v>
      </c>
      <c r="E9" s="4">
        <v>0</v>
      </c>
      <c r="F9" s="4">
        <v>0</v>
      </c>
      <c r="G9" s="5">
        <v>0</v>
      </c>
      <c r="H9" s="4">
        <v>0</v>
      </c>
    </row>
    <row r="10" spans="1:8" ht="17.399999999999999" thickBot="1" x14ac:dyDescent="0.35">
      <c r="A10" s="3" t="s">
        <v>60</v>
      </c>
      <c r="B10" s="4" t="s">
        <v>10</v>
      </c>
      <c r="C10" s="4">
        <v>10.8</v>
      </c>
      <c r="D10" s="5">
        <v>10</v>
      </c>
      <c r="E10" s="4">
        <v>18</v>
      </c>
      <c r="F10" s="4">
        <v>11.8</v>
      </c>
      <c r="G10" s="5">
        <v>9</v>
      </c>
      <c r="H10" s="4">
        <v>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DABA-9543-4C63-9106-DA2E7EDEE757}">
  <dimension ref="A1:K26"/>
  <sheetViews>
    <sheetView topLeftCell="A8" workbookViewId="0">
      <selection activeCell="B24" sqref="B24:B26"/>
    </sheetView>
  </sheetViews>
  <sheetFormatPr defaultRowHeight="14.4" x14ac:dyDescent="0.3"/>
  <cols>
    <col min="1" max="1" width="21.6640625" customWidth="1"/>
    <col min="2" max="2" width="24.33203125" customWidth="1"/>
    <col min="6" max="6" width="15.5546875" customWidth="1"/>
    <col min="7" max="7" width="16.77734375" customWidth="1"/>
    <col min="8" max="8" width="21.77734375" customWidth="1"/>
  </cols>
  <sheetData>
    <row r="1" spans="1:11" x14ac:dyDescent="0.3">
      <c r="A1" t="s">
        <v>150</v>
      </c>
      <c r="B1" t="s">
        <v>1</v>
      </c>
      <c r="C1" t="s">
        <v>3</v>
      </c>
      <c r="D1" t="s">
        <v>4</v>
      </c>
      <c r="E1" t="s">
        <v>2</v>
      </c>
      <c r="F1" t="s">
        <v>8</v>
      </c>
      <c r="G1" t="s">
        <v>9</v>
      </c>
      <c r="H1" t="s">
        <v>7</v>
      </c>
      <c r="I1" t="s">
        <v>10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E2">
        <v>10</v>
      </c>
      <c r="I2">
        <v>56</v>
      </c>
    </row>
    <row r="3" spans="1:11" x14ac:dyDescent="0.3">
      <c r="A3" t="s">
        <v>13</v>
      </c>
      <c r="B3" t="s">
        <v>132</v>
      </c>
      <c r="C3">
        <v>0</v>
      </c>
      <c r="D3">
        <v>1</v>
      </c>
      <c r="E3">
        <v>2</v>
      </c>
      <c r="F3">
        <v>3</v>
      </c>
      <c r="G3">
        <v>0</v>
      </c>
      <c r="H3">
        <v>1</v>
      </c>
      <c r="I3">
        <v>9</v>
      </c>
    </row>
    <row r="4" spans="1:11" x14ac:dyDescent="0.3">
      <c r="A4" t="s">
        <v>15</v>
      </c>
      <c r="B4" t="s">
        <v>133</v>
      </c>
      <c r="E4">
        <v>2</v>
      </c>
      <c r="I4">
        <v>10</v>
      </c>
    </row>
    <row r="5" spans="1:11" x14ac:dyDescent="0.3">
      <c r="A5" t="s">
        <v>17</v>
      </c>
      <c r="B5" t="s">
        <v>134</v>
      </c>
      <c r="E5">
        <v>2</v>
      </c>
      <c r="I5">
        <v>8</v>
      </c>
      <c r="J5">
        <v>3</v>
      </c>
      <c r="K5">
        <v>3</v>
      </c>
    </row>
    <row r="6" spans="1:11" x14ac:dyDescent="0.3">
      <c r="A6" t="s">
        <v>13</v>
      </c>
      <c r="B6" t="s">
        <v>19</v>
      </c>
      <c r="C6">
        <v>0</v>
      </c>
      <c r="D6">
        <v>1</v>
      </c>
      <c r="E6">
        <v>1</v>
      </c>
      <c r="F6">
        <v>5</v>
      </c>
      <c r="G6">
        <v>0</v>
      </c>
      <c r="H6">
        <v>1</v>
      </c>
      <c r="I6">
        <v>7</v>
      </c>
    </row>
    <row r="7" spans="1:11" x14ac:dyDescent="0.3">
      <c r="A7" t="s">
        <v>15</v>
      </c>
      <c r="B7" t="s">
        <v>20</v>
      </c>
      <c r="E7">
        <v>1</v>
      </c>
      <c r="I7">
        <v>10</v>
      </c>
    </row>
    <row r="8" spans="1:11" x14ac:dyDescent="0.3">
      <c r="A8" t="s">
        <v>21</v>
      </c>
      <c r="B8" t="s">
        <v>22</v>
      </c>
      <c r="E8">
        <v>1</v>
      </c>
      <c r="I8">
        <v>6</v>
      </c>
      <c r="J8">
        <v>0</v>
      </c>
      <c r="K8">
        <v>4</v>
      </c>
    </row>
    <row r="9" spans="1:11" x14ac:dyDescent="0.3">
      <c r="A9" t="s">
        <v>13</v>
      </c>
      <c r="B9" t="s">
        <v>135</v>
      </c>
      <c r="C9">
        <v>0</v>
      </c>
      <c r="D9">
        <v>1</v>
      </c>
      <c r="E9">
        <v>2</v>
      </c>
      <c r="F9">
        <v>3</v>
      </c>
      <c r="G9">
        <v>0</v>
      </c>
      <c r="H9">
        <v>1</v>
      </c>
      <c r="I9">
        <v>9</v>
      </c>
    </row>
    <row r="10" spans="1:11" x14ac:dyDescent="0.3">
      <c r="A10" t="s">
        <v>15</v>
      </c>
      <c r="B10" t="s">
        <v>136</v>
      </c>
      <c r="E10">
        <v>2</v>
      </c>
      <c r="I10">
        <v>10</v>
      </c>
    </row>
    <row r="11" spans="1:11" x14ac:dyDescent="0.3">
      <c r="A11" t="s">
        <v>17</v>
      </c>
      <c r="B11" t="s">
        <v>137</v>
      </c>
      <c r="E11">
        <v>2</v>
      </c>
      <c r="I11">
        <v>8</v>
      </c>
      <c r="J11">
        <v>3</v>
      </c>
      <c r="K11">
        <v>3</v>
      </c>
    </row>
    <row r="12" spans="1:11" x14ac:dyDescent="0.3">
      <c r="A12" t="s">
        <v>13</v>
      </c>
      <c r="B12" t="s">
        <v>138</v>
      </c>
      <c r="C12">
        <v>0</v>
      </c>
      <c r="D12">
        <v>1</v>
      </c>
      <c r="E12">
        <v>3</v>
      </c>
      <c r="F12">
        <v>2</v>
      </c>
      <c r="G12">
        <v>0</v>
      </c>
      <c r="H12">
        <v>3</v>
      </c>
      <c r="I12">
        <v>11</v>
      </c>
    </row>
    <row r="13" spans="1:11" x14ac:dyDescent="0.3">
      <c r="A13" t="s">
        <v>24</v>
      </c>
      <c r="B13" t="s">
        <v>139</v>
      </c>
      <c r="E13">
        <v>1</v>
      </c>
      <c r="I13">
        <v>3</v>
      </c>
      <c r="J13">
        <v>2</v>
      </c>
      <c r="K13">
        <v>2</v>
      </c>
    </row>
    <row r="14" spans="1:11" x14ac:dyDescent="0.3">
      <c r="A14" t="s">
        <v>17</v>
      </c>
      <c r="B14" t="s">
        <v>140</v>
      </c>
      <c r="E14">
        <v>1</v>
      </c>
      <c r="I14">
        <v>3</v>
      </c>
      <c r="J14">
        <v>4</v>
      </c>
      <c r="K14">
        <v>4</v>
      </c>
    </row>
    <row r="15" spans="1:11" x14ac:dyDescent="0.3">
      <c r="A15" t="s">
        <v>17</v>
      </c>
      <c r="B15" t="s">
        <v>141</v>
      </c>
      <c r="E15">
        <v>1</v>
      </c>
      <c r="I15">
        <v>3</v>
      </c>
      <c r="J15">
        <v>3</v>
      </c>
      <c r="K15">
        <v>1</v>
      </c>
    </row>
    <row r="16" spans="1:11" x14ac:dyDescent="0.3">
      <c r="A16" t="s">
        <v>15</v>
      </c>
      <c r="B16" t="s">
        <v>142</v>
      </c>
      <c r="E16">
        <v>3</v>
      </c>
      <c r="I16">
        <v>14</v>
      </c>
    </row>
    <row r="17" spans="1:11" x14ac:dyDescent="0.3">
      <c r="A17" t="s">
        <v>29</v>
      </c>
      <c r="B17" t="s">
        <v>143</v>
      </c>
      <c r="C17">
        <v>0</v>
      </c>
      <c r="D17">
        <v>0</v>
      </c>
      <c r="E17">
        <v>0</v>
      </c>
      <c r="F17">
        <v>1</v>
      </c>
      <c r="G17">
        <v>2</v>
      </c>
      <c r="H17">
        <v>1</v>
      </c>
      <c r="I17">
        <v>2</v>
      </c>
    </row>
    <row r="18" spans="1:11" x14ac:dyDescent="0.3">
      <c r="A18" t="s">
        <v>15</v>
      </c>
      <c r="B18" t="s">
        <v>144</v>
      </c>
      <c r="E18">
        <v>0</v>
      </c>
      <c r="I18">
        <v>3</v>
      </c>
    </row>
    <row r="19" spans="1:11" x14ac:dyDescent="0.3">
      <c r="A19" t="s">
        <v>32</v>
      </c>
      <c r="B19" t="s">
        <v>145</v>
      </c>
      <c r="E19">
        <v>0</v>
      </c>
      <c r="I19">
        <v>1</v>
      </c>
      <c r="J19">
        <v>1</v>
      </c>
      <c r="K19">
        <v>0</v>
      </c>
    </row>
    <row r="20" spans="1:11" x14ac:dyDescent="0.3">
      <c r="A20" t="s">
        <v>13</v>
      </c>
      <c r="B20" t="s">
        <v>146</v>
      </c>
      <c r="C20">
        <v>0</v>
      </c>
      <c r="D20">
        <v>1</v>
      </c>
      <c r="E20">
        <v>2</v>
      </c>
      <c r="F20">
        <v>2</v>
      </c>
      <c r="G20">
        <v>0</v>
      </c>
      <c r="H20">
        <v>2</v>
      </c>
      <c r="I20">
        <v>8</v>
      </c>
    </row>
    <row r="21" spans="1:11" x14ac:dyDescent="0.3">
      <c r="A21" t="s">
        <v>24</v>
      </c>
      <c r="B21" t="s">
        <v>147</v>
      </c>
      <c r="E21">
        <v>1</v>
      </c>
      <c r="I21">
        <v>3</v>
      </c>
      <c r="J21">
        <v>2</v>
      </c>
      <c r="K21">
        <v>2</v>
      </c>
    </row>
    <row r="22" spans="1:11" x14ac:dyDescent="0.3">
      <c r="A22" t="s">
        <v>17</v>
      </c>
      <c r="B22" t="s">
        <v>148</v>
      </c>
      <c r="E22">
        <v>1</v>
      </c>
      <c r="I22">
        <v>3</v>
      </c>
      <c r="J22">
        <v>3</v>
      </c>
      <c r="K22">
        <v>1</v>
      </c>
    </row>
    <row r="23" spans="1:11" x14ac:dyDescent="0.3">
      <c r="A23" t="s">
        <v>15</v>
      </c>
      <c r="B23" t="s">
        <v>149</v>
      </c>
      <c r="E23">
        <v>2</v>
      </c>
      <c r="I23">
        <v>9</v>
      </c>
    </row>
    <row r="24" spans="1:11" x14ac:dyDescent="0.3">
      <c r="B24" s="2" t="s">
        <v>41</v>
      </c>
      <c r="C24">
        <v>0</v>
      </c>
      <c r="D24">
        <f>AVERAGE(D20,D12,D9,D6,D3)</f>
        <v>1</v>
      </c>
      <c r="E24">
        <f>AVERAGE(E20,E12,E9,E6,E3)</f>
        <v>2</v>
      </c>
      <c r="F24">
        <f>AVERAGE(F20,F12,F9,F6,F3)</f>
        <v>3</v>
      </c>
      <c r="G24">
        <f>AVERAGE(G17,G20,G12,G9,G6,G3)</f>
        <v>0.33333333333333331</v>
      </c>
      <c r="H24">
        <f>AVERAGE(H17,H20,H12,H9,H6,H3)</f>
        <v>1.5</v>
      </c>
      <c r="I24">
        <f>AVERAGE(I20,I12,I9,I6,I3)</f>
        <v>8.8000000000000007</v>
      </c>
      <c r="J24">
        <f>AVERAGE(J22,J21,J19,J15,J14,J13,J11,J8,J5)</f>
        <v>2.3333333333333335</v>
      </c>
      <c r="K24">
        <f>AVERAGE(K22,K21,K19,K15,K14,K13,K11,K8,K5)</f>
        <v>2.2222222222222223</v>
      </c>
    </row>
    <row r="25" spans="1:11" x14ac:dyDescent="0.3">
      <c r="B25" s="2" t="s">
        <v>42</v>
      </c>
      <c r="C25">
        <v>0</v>
      </c>
      <c r="D25">
        <f>MEDIAN(D20,D12,D9,D6,D3)</f>
        <v>1</v>
      </c>
      <c r="E25">
        <f t="shared" ref="E25:I25" si="0">MEDIAN(E20,E12,E9,E6,E3)</f>
        <v>2</v>
      </c>
      <c r="F25">
        <f t="shared" si="0"/>
        <v>3</v>
      </c>
      <c r="G25">
        <f t="shared" si="0"/>
        <v>0</v>
      </c>
      <c r="H25">
        <f t="shared" si="0"/>
        <v>1</v>
      </c>
      <c r="I25">
        <f t="shared" si="0"/>
        <v>9</v>
      </c>
      <c r="J25">
        <f>MEDIAN(J22,J21,J19,J15,J14,J13,J11,J8,J5)</f>
        <v>3</v>
      </c>
      <c r="K25">
        <f>MEDIAN(K22,K21,K19,K15,K14,K13,K11,K8,K5)</f>
        <v>2</v>
      </c>
    </row>
    <row r="26" spans="1:11" x14ac:dyDescent="0.3">
      <c r="B26" s="2" t="s">
        <v>43</v>
      </c>
      <c r="C26">
        <v>0</v>
      </c>
      <c r="D26">
        <v>1</v>
      </c>
      <c r="E26">
        <v>3</v>
      </c>
      <c r="F26">
        <v>5</v>
      </c>
      <c r="G26">
        <v>2</v>
      </c>
      <c r="H26">
        <v>3</v>
      </c>
      <c r="I26">
        <v>11</v>
      </c>
      <c r="J26">
        <v>4</v>
      </c>
      <c r="K26">
        <v>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F358-FBA1-4EE4-A91E-CA607BD72154}">
  <dimension ref="A1:K23"/>
  <sheetViews>
    <sheetView workbookViewId="0">
      <selection activeCell="K24" sqref="K24"/>
    </sheetView>
  </sheetViews>
  <sheetFormatPr defaultRowHeight="14.4" x14ac:dyDescent="0.3"/>
  <cols>
    <col min="1" max="1" width="18.6640625" customWidth="1"/>
    <col min="2" max="2" width="16.21875" customWidth="1"/>
    <col min="3" max="3" width="33.88671875" customWidth="1"/>
    <col min="6" max="6" width="19" customWidth="1"/>
    <col min="7" max="7" width="26.6640625" customWidth="1"/>
    <col min="8" max="8" width="2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8</v>
      </c>
      <c r="G1" t="s">
        <v>9</v>
      </c>
      <c r="H1" t="s">
        <v>7</v>
      </c>
      <c r="I1" t="s">
        <v>10</v>
      </c>
      <c r="J1" t="s">
        <v>5</v>
      </c>
      <c r="K1" t="s">
        <v>6</v>
      </c>
    </row>
    <row r="2" spans="1:11" x14ac:dyDescent="0.3">
      <c r="A2" t="s">
        <v>11</v>
      </c>
      <c r="B2" t="s">
        <v>12</v>
      </c>
      <c r="D2">
        <v>12</v>
      </c>
      <c r="I2">
        <v>58</v>
      </c>
    </row>
    <row r="3" spans="1:11" x14ac:dyDescent="0.3">
      <c r="A3" t="s">
        <v>13</v>
      </c>
      <c r="B3" t="s">
        <v>151</v>
      </c>
      <c r="C3">
        <v>0</v>
      </c>
      <c r="D3">
        <v>2</v>
      </c>
      <c r="E3">
        <v>1</v>
      </c>
      <c r="F3">
        <v>2</v>
      </c>
      <c r="G3">
        <v>0</v>
      </c>
      <c r="H3">
        <v>1</v>
      </c>
      <c r="I3">
        <v>8</v>
      </c>
    </row>
    <row r="4" spans="1:11" x14ac:dyDescent="0.3">
      <c r="A4" t="s">
        <v>15</v>
      </c>
      <c r="B4" t="s">
        <v>152</v>
      </c>
      <c r="D4">
        <v>2</v>
      </c>
      <c r="I4">
        <v>9</v>
      </c>
    </row>
    <row r="5" spans="1:11" x14ac:dyDescent="0.3">
      <c r="A5" t="s">
        <v>17</v>
      </c>
      <c r="B5" t="s">
        <v>153</v>
      </c>
      <c r="D5">
        <v>2</v>
      </c>
      <c r="I5">
        <v>7</v>
      </c>
      <c r="J5">
        <v>4</v>
      </c>
      <c r="K5">
        <v>3</v>
      </c>
    </row>
    <row r="6" spans="1:11" x14ac:dyDescent="0.3">
      <c r="A6" t="s">
        <v>13</v>
      </c>
      <c r="B6" t="s">
        <v>19</v>
      </c>
      <c r="C6">
        <v>0</v>
      </c>
      <c r="D6">
        <v>1</v>
      </c>
      <c r="E6">
        <v>1</v>
      </c>
      <c r="F6">
        <v>3</v>
      </c>
      <c r="G6">
        <v>0</v>
      </c>
      <c r="H6">
        <v>1</v>
      </c>
      <c r="I6">
        <v>6</v>
      </c>
    </row>
    <row r="7" spans="1:11" x14ac:dyDescent="0.3">
      <c r="A7" t="s">
        <v>15</v>
      </c>
      <c r="B7" t="s">
        <v>20</v>
      </c>
      <c r="D7">
        <v>1</v>
      </c>
      <c r="I7">
        <v>9</v>
      </c>
    </row>
    <row r="8" spans="1:11" x14ac:dyDescent="0.3">
      <c r="A8" t="s">
        <v>21</v>
      </c>
      <c r="B8" t="s">
        <v>22</v>
      </c>
      <c r="D8">
        <v>1</v>
      </c>
      <c r="I8">
        <v>5</v>
      </c>
      <c r="J8">
        <v>0</v>
      </c>
      <c r="K8">
        <v>4</v>
      </c>
    </row>
    <row r="9" spans="1:11" x14ac:dyDescent="0.3">
      <c r="A9" t="s">
        <v>13</v>
      </c>
      <c r="B9" t="s">
        <v>154</v>
      </c>
      <c r="C9">
        <v>0</v>
      </c>
      <c r="D9">
        <v>2</v>
      </c>
      <c r="E9">
        <v>1</v>
      </c>
      <c r="F9">
        <v>2</v>
      </c>
      <c r="G9">
        <v>0</v>
      </c>
      <c r="H9">
        <v>1</v>
      </c>
      <c r="I9">
        <v>8</v>
      </c>
    </row>
    <row r="10" spans="1:11" x14ac:dyDescent="0.3">
      <c r="A10" t="s">
        <v>15</v>
      </c>
      <c r="B10" t="s">
        <v>155</v>
      </c>
      <c r="D10">
        <v>2</v>
      </c>
      <c r="I10">
        <v>9</v>
      </c>
    </row>
    <row r="11" spans="1:11" x14ac:dyDescent="0.3">
      <c r="A11" t="s">
        <v>17</v>
      </c>
      <c r="B11" t="s">
        <v>156</v>
      </c>
      <c r="D11">
        <v>2</v>
      </c>
      <c r="I11">
        <v>7</v>
      </c>
      <c r="J11">
        <v>4</v>
      </c>
      <c r="K11">
        <v>3</v>
      </c>
    </row>
    <row r="12" spans="1:11" x14ac:dyDescent="0.3">
      <c r="A12" t="s">
        <v>13</v>
      </c>
      <c r="B12" t="s">
        <v>138</v>
      </c>
      <c r="C12">
        <v>0</v>
      </c>
      <c r="D12">
        <v>3</v>
      </c>
      <c r="E12">
        <v>1</v>
      </c>
      <c r="F12">
        <v>2</v>
      </c>
      <c r="G12">
        <v>0</v>
      </c>
      <c r="H12">
        <v>3</v>
      </c>
      <c r="I12">
        <v>11</v>
      </c>
    </row>
    <row r="13" spans="1:11" x14ac:dyDescent="0.3">
      <c r="A13" t="s">
        <v>24</v>
      </c>
      <c r="B13" t="s">
        <v>139</v>
      </c>
      <c r="D13">
        <v>1</v>
      </c>
      <c r="I13">
        <v>3</v>
      </c>
      <c r="J13">
        <v>2</v>
      </c>
      <c r="K13">
        <v>2</v>
      </c>
    </row>
    <row r="14" spans="1:11" x14ac:dyDescent="0.3">
      <c r="A14" t="s">
        <v>17</v>
      </c>
      <c r="B14" t="s">
        <v>140</v>
      </c>
      <c r="D14">
        <v>1</v>
      </c>
      <c r="I14">
        <v>3</v>
      </c>
      <c r="J14">
        <v>4</v>
      </c>
      <c r="K14">
        <v>4</v>
      </c>
    </row>
    <row r="15" spans="1:11" x14ac:dyDescent="0.3">
      <c r="A15" t="s">
        <v>17</v>
      </c>
      <c r="B15" t="s">
        <v>141</v>
      </c>
      <c r="D15">
        <v>1</v>
      </c>
      <c r="I15">
        <v>3</v>
      </c>
      <c r="J15">
        <v>3</v>
      </c>
      <c r="K15">
        <v>1</v>
      </c>
    </row>
    <row r="16" spans="1:11" x14ac:dyDescent="0.3">
      <c r="A16" t="s">
        <v>15</v>
      </c>
      <c r="B16" t="s">
        <v>142</v>
      </c>
      <c r="D16">
        <v>3</v>
      </c>
      <c r="I16">
        <v>14</v>
      </c>
    </row>
    <row r="17" spans="1:11" x14ac:dyDescent="0.3">
      <c r="A17" t="s">
        <v>13</v>
      </c>
      <c r="B17" t="s">
        <v>146</v>
      </c>
      <c r="C17">
        <v>0</v>
      </c>
      <c r="D17">
        <v>4</v>
      </c>
      <c r="E17">
        <v>1</v>
      </c>
      <c r="F17">
        <v>5</v>
      </c>
      <c r="G17">
        <v>0</v>
      </c>
      <c r="H17">
        <v>2</v>
      </c>
      <c r="I17">
        <v>16</v>
      </c>
    </row>
    <row r="18" spans="1:11" x14ac:dyDescent="0.3">
      <c r="A18" t="s">
        <v>24</v>
      </c>
      <c r="B18" t="s">
        <v>147</v>
      </c>
      <c r="D18">
        <v>1</v>
      </c>
      <c r="I18">
        <v>4</v>
      </c>
      <c r="J18">
        <v>1</v>
      </c>
      <c r="K18">
        <v>3</v>
      </c>
    </row>
    <row r="19" spans="1:11" x14ac:dyDescent="0.3">
      <c r="A19" t="s">
        <v>17</v>
      </c>
      <c r="B19" t="s">
        <v>148</v>
      </c>
      <c r="D19">
        <v>3</v>
      </c>
      <c r="I19">
        <v>9</v>
      </c>
      <c r="J19">
        <v>5</v>
      </c>
      <c r="K19">
        <v>3</v>
      </c>
    </row>
    <row r="20" spans="1:11" x14ac:dyDescent="0.3">
      <c r="A20" t="s">
        <v>15</v>
      </c>
      <c r="B20" t="s">
        <v>149</v>
      </c>
      <c r="D20">
        <v>4</v>
      </c>
      <c r="I20">
        <v>17</v>
      </c>
    </row>
    <row r="21" spans="1:11" x14ac:dyDescent="0.3">
      <c r="B21" s="2" t="s">
        <v>41</v>
      </c>
      <c r="C21">
        <f>AVERAGE(C17,C12,C9,C6,C3)</f>
        <v>0</v>
      </c>
      <c r="D21">
        <f t="shared" ref="D21:I21" si="0">AVERAGE(D17,D12,D9,D6,D3)</f>
        <v>2.4</v>
      </c>
      <c r="E21">
        <f t="shared" si="0"/>
        <v>1</v>
      </c>
      <c r="F21">
        <f>AVERAGE(F17,F12,F9,F6,F3)</f>
        <v>2.8</v>
      </c>
      <c r="G21">
        <f t="shared" si="0"/>
        <v>0</v>
      </c>
      <c r="H21">
        <f t="shared" si="0"/>
        <v>1.6</v>
      </c>
      <c r="I21">
        <f t="shared" si="0"/>
        <v>9.8000000000000007</v>
      </c>
      <c r="J21">
        <f>AVERAGE(J19,J18,J15,J14,J13,J11,J8,J5)</f>
        <v>2.875</v>
      </c>
      <c r="K21">
        <f>AVERAGE(K19,K18,K15,K14,K13,K11,K8,K5)</f>
        <v>2.875</v>
      </c>
    </row>
    <row r="22" spans="1:11" x14ac:dyDescent="0.3">
      <c r="B22" s="2" t="s">
        <v>42</v>
      </c>
      <c r="C22">
        <f>MEDIAN(C17,C12,C9,C6,C3)</f>
        <v>0</v>
      </c>
      <c r="D22">
        <f t="shared" ref="D22:I22" si="1">MEDIAN(D17,D12,D9,D6,D3)</f>
        <v>2</v>
      </c>
      <c r="E22">
        <f t="shared" si="1"/>
        <v>1</v>
      </c>
      <c r="F22">
        <f t="shared" si="1"/>
        <v>2</v>
      </c>
      <c r="G22">
        <f t="shared" si="1"/>
        <v>0</v>
      </c>
      <c r="H22">
        <f t="shared" si="1"/>
        <v>1</v>
      </c>
      <c r="I22">
        <f t="shared" si="1"/>
        <v>8</v>
      </c>
      <c r="J22">
        <f>MEDIAN(J19,J18,J15,J14,J13,J11,J8,J5)</f>
        <v>3.5</v>
      </c>
      <c r="K22">
        <f>MEDIAN(K19,K18,K15,K14,K13,K11,K8,K5)</f>
        <v>3</v>
      </c>
    </row>
    <row r="23" spans="1:11" x14ac:dyDescent="0.3">
      <c r="B23" s="2" t="s">
        <v>43</v>
      </c>
      <c r="C23">
        <v>0</v>
      </c>
      <c r="D23">
        <v>4</v>
      </c>
      <c r="E23">
        <v>1</v>
      </c>
      <c r="F23">
        <v>5</v>
      </c>
      <c r="G23">
        <v>0</v>
      </c>
      <c r="H23">
        <v>3</v>
      </c>
      <c r="I23">
        <v>16</v>
      </c>
      <c r="J23">
        <v>5</v>
      </c>
      <c r="K23">
        <v>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EF40-4F2A-490D-98BD-D5E24765766D}">
  <dimension ref="A1:H10"/>
  <sheetViews>
    <sheetView topLeftCell="A2" workbookViewId="0">
      <selection activeCell="I12" sqref="I12"/>
    </sheetView>
  </sheetViews>
  <sheetFormatPr defaultRowHeight="14.4" x14ac:dyDescent="0.3"/>
  <cols>
    <col min="1" max="1" width="26" customWidth="1"/>
    <col min="2" max="2" width="22.6640625" customWidth="1"/>
    <col min="3" max="3" width="14.6640625" customWidth="1"/>
    <col min="4" max="4" width="16.6640625" customWidth="1"/>
  </cols>
  <sheetData>
    <row r="1" spans="1:8" ht="51" thickBot="1" x14ac:dyDescent="0.35">
      <c r="A1" s="3" t="s">
        <v>50</v>
      </c>
      <c r="B1" s="3" t="s">
        <v>51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</row>
    <row r="2" spans="1:8" ht="17.399999999999999" thickBot="1" x14ac:dyDescent="0.35">
      <c r="A2" s="3" t="s">
        <v>52</v>
      </c>
      <c r="B2" s="4" t="s">
        <v>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ht="17.399999999999999" thickBot="1" x14ac:dyDescent="0.35">
      <c r="A3" s="3" t="s">
        <v>53</v>
      </c>
      <c r="B3" s="4" t="s">
        <v>8</v>
      </c>
      <c r="C3" s="4">
        <v>3</v>
      </c>
      <c r="D3" s="5">
        <v>3</v>
      </c>
      <c r="E3" s="4">
        <v>5</v>
      </c>
      <c r="F3" s="4">
        <v>2.8</v>
      </c>
      <c r="G3" s="5">
        <v>2</v>
      </c>
      <c r="H3" s="4">
        <v>5</v>
      </c>
    </row>
    <row r="4" spans="1:8" ht="17.399999999999999" thickBot="1" x14ac:dyDescent="0.35">
      <c r="A4" s="3" t="s">
        <v>54</v>
      </c>
      <c r="B4" s="4" t="s">
        <v>7</v>
      </c>
      <c r="C4" s="4">
        <v>1.5</v>
      </c>
      <c r="D4" s="5">
        <v>1</v>
      </c>
      <c r="E4" s="4">
        <v>3</v>
      </c>
      <c r="F4" s="4">
        <v>1.6</v>
      </c>
      <c r="G4" s="5">
        <v>1</v>
      </c>
      <c r="H4" s="4">
        <v>3</v>
      </c>
    </row>
    <row r="5" spans="1:8" ht="17.399999999999999" thickBot="1" x14ac:dyDescent="0.35">
      <c r="A5" s="3" t="s">
        <v>55</v>
      </c>
      <c r="B5" s="4" t="s">
        <v>5</v>
      </c>
      <c r="C5" s="4">
        <v>2.2999999999999998</v>
      </c>
      <c r="D5" s="5">
        <v>3</v>
      </c>
      <c r="E5" s="4">
        <v>4</v>
      </c>
      <c r="F5" s="4">
        <v>2.9</v>
      </c>
      <c r="G5" s="5">
        <v>3.5</v>
      </c>
      <c r="H5" s="4">
        <v>5</v>
      </c>
    </row>
    <row r="6" spans="1:8" ht="17.399999999999999" thickBot="1" x14ac:dyDescent="0.35">
      <c r="A6" s="3" t="s">
        <v>56</v>
      </c>
      <c r="B6" s="4" t="s">
        <v>6</v>
      </c>
      <c r="C6" s="4">
        <v>2.2000000000000002</v>
      </c>
      <c r="D6" s="5">
        <v>2</v>
      </c>
      <c r="E6" s="4">
        <v>4</v>
      </c>
      <c r="F6" s="4">
        <v>2.9</v>
      </c>
      <c r="G6" s="5">
        <v>3</v>
      </c>
      <c r="H6" s="4">
        <v>4</v>
      </c>
    </row>
    <row r="7" spans="1:8" ht="17.399999999999999" thickBot="1" x14ac:dyDescent="0.35">
      <c r="A7" s="3" t="s">
        <v>57</v>
      </c>
      <c r="B7" s="4" t="s">
        <v>2</v>
      </c>
      <c r="C7" s="4">
        <v>2</v>
      </c>
      <c r="D7" s="5">
        <v>2</v>
      </c>
      <c r="E7" s="4">
        <v>3</v>
      </c>
      <c r="F7" s="4">
        <v>2.4</v>
      </c>
      <c r="G7" s="5">
        <v>2</v>
      </c>
      <c r="H7" s="4">
        <v>4</v>
      </c>
    </row>
    <row r="8" spans="1:8" ht="17.399999999999999" thickBot="1" x14ac:dyDescent="0.35">
      <c r="A8" s="3" t="s">
        <v>58</v>
      </c>
      <c r="B8" s="4" t="s">
        <v>4</v>
      </c>
      <c r="C8" s="4">
        <v>1</v>
      </c>
      <c r="D8" s="5">
        <v>1</v>
      </c>
      <c r="E8" s="4">
        <v>1</v>
      </c>
      <c r="F8" s="4">
        <v>1</v>
      </c>
      <c r="G8" s="5">
        <v>1</v>
      </c>
      <c r="H8" s="4">
        <v>1</v>
      </c>
    </row>
    <row r="9" spans="1:8" ht="17.399999999999999" thickBot="1" x14ac:dyDescent="0.35">
      <c r="A9" s="3" t="s">
        <v>59</v>
      </c>
      <c r="B9" s="4" t="s">
        <v>9</v>
      </c>
      <c r="C9" s="4">
        <v>0.3</v>
      </c>
      <c r="D9" s="5">
        <v>0</v>
      </c>
      <c r="E9" s="4">
        <v>2</v>
      </c>
      <c r="F9" s="4">
        <v>0</v>
      </c>
      <c r="G9" s="5">
        <v>0</v>
      </c>
      <c r="H9" s="4">
        <v>0</v>
      </c>
    </row>
    <row r="10" spans="1:8" ht="17.399999999999999" thickBot="1" x14ac:dyDescent="0.35">
      <c r="A10" s="3" t="s">
        <v>60</v>
      </c>
      <c r="B10" s="4" t="s">
        <v>10</v>
      </c>
      <c r="C10" s="4">
        <v>8.8000000000000007</v>
      </c>
      <c r="D10" s="5">
        <v>9</v>
      </c>
      <c r="E10" s="4">
        <v>11</v>
      </c>
      <c r="F10" s="4">
        <v>9.8000000000000007</v>
      </c>
      <c r="G10" s="5">
        <v>8</v>
      </c>
      <c r="H10" s="4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metrics_used</vt:lpstr>
      <vt:lpstr>projects</vt:lpstr>
      <vt:lpstr>qualitative_analisys</vt:lpstr>
      <vt:lpstr>order_good</vt:lpstr>
      <vt:lpstr>order_bad</vt:lpstr>
      <vt:lpstr>order_all</vt:lpstr>
      <vt:lpstr>notification_good</vt:lpstr>
      <vt:lpstr>notification_bad</vt:lpstr>
      <vt:lpstr>notification_all</vt:lpstr>
      <vt:lpstr>shipping_bad</vt:lpstr>
      <vt:lpstr>shipping_good</vt:lpstr>
      <vt:lpstr>shipping_all</vt:lpstr>
      <vt:lpstr>report_good</vt:lpstr>
      <vt:lpstr>report_bad</vt:lpstr>
      <vt:lpstr>report_all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ANDRADE MENOLLI</dc:creator>
  <cp:lastModifiedBy>andre menolli</cp:lastModifiedBy>
  <dcterms:created xsi:type="dcterms:W3CDTF">2026-05-08T21:03:46Z</dcterms:created>
  <dcterms:modified xsi:type="dcterms:W3CDTF">2026-05-20T00:33:04Z</dcterms:modified>
</cp:coreProperties>
</file>